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mx02\DATA\01-CALIDAD\16. Laboratorio\11. Documentación Laboratorio Químico\2. INFORMACION\Respaldo Lab quimico\"/>
    </mc:Choice>
  </mc:AlternateContent>
  <xr:revisionPtr revIDLastSave="0" documentId="13_ncr:1_{6EBE71B3-C5FD-4ED3-9400-77B7B7970321}" xr6:coauthVersionLast="47" xr6:coauthVersionMax="47" xr10:uidLastSave="{00000000-0000-0000-0000-000000000000}"/>
  <bookViews>
    <workbookView xWindow="-108" yWindow="-108" windowWidth="23256" windowHeight="12456" activeTab="6" xr2:uid="{C4D430EF-E0F7-4225-A1E9-8FFAEE702415}"/>
  </bookViews>
  <sheets>
    <sheet name="BMW" sheetId="1" r:id="rId1"/>
    <sheet name="TOYOTA" sheetId="6" r:id="rId2"/>
    <sheet name="DAIMLER" sheetId="8" r:id="rId3"/>
    <sheet name="NAVISTAR" sheetId="9" r:id="rId4"/>
    <sheet name="KENWORTH" sheetId="10" r:id="rId5"/>
    <sheet name="STELLANTIS(PS8810)" sheetId="12" r:id="rId6"/>
    <sheet name="STELLANTIS(PS50014)" sheetId="19" r:id="rId7"/>
    <sheet name="STELLANTIS(PS50065)" sheetId="21" r:id="rId8"/>
    <sheet name="VW" sheetId="11" r:id="rId9"/>
    <sheet name="GMOK" sheetId="13" r:id="rId10"/>
    <sheet name="TESLAOK" sheetId="15" r:id="rId11"/>
    <sheet name="VOLVOOK" sheetId="16" r:id="rId12"/>
    <sheet name="EZGOOK" sheetId="17" r:id="rId13"/>
    <sheet name="FORDOK" sheetId="18" r:id="rId14"/>
  </sheets>
  <definedNames>
    <definedName name="_xlnm._FilterDatabase" localSheetId="0" hidden="1">BMW!$A$12:$U$18</definedName>
    <definedName name="_xlnm._FilterDatabase" localSheetId="2" hidden="1">DAIMLER!$A$12:$T$18</definedName>
    <definedName name="_xlnm._FilterDatabase" localSheetId="12" hidden="1">EZGOOK!$A$12:$T$18</definedName>
    <definedName name="_xlnm._FilterDatabase" localSheetId="13" hidden="1">FORDOK!$A$12:$T$18</definedName>
    <definedName name="_xlnm._FilterDatabase" localSheetId="9" hidden="1">GMOK!$A$12:$T$18</definedName>
    <definedName name="_xlnm._FilterDatabase" localSheetId="4" hidden="1">KENWORTH!$A$12:$T$18</definedName>
    <definedName name="_xlnm._FilterDatabase" localSheetId="3" hidden="1">NAVISTAR!$A$12:$T$18</definedName>
    <definedName name="_xlnm._FilterDatabase" localSheetId="6" hidden="1">'STELLANTIS(PS50014)'!$A$12:$V$18</definedName>
    <definedName name="_xlnm._FilterDatabase" localSheetId="7" hidden="1">'STELLANTIS(PS50065)'!$A$12:$V$18</definedName>
    <definedName name="_xlnm._FilterDatabase" localSheetId="5" hidden="1">'STELLANTIS(PS8810)'!$A$12:$T$18</definedName>
    <definedName name="_xlnm._FilterDatabase" localSheetId="10" hidden="1">TESLAOK!$A$12:$T$18</definedName>
    <definedName name="_xlnm._FilterDatabase" localSheetId="1" hidden="1">TOYOTA!$A$12:$V$18</definedName>
    <definedName name="_xlnm._FilterDatabase" localSheetId="11" hidden="1">VOLVOOK!$A$12:$T$18</definedName>
    <definedName name="_xlnm._FilterDatabase" localSheetId="8" hidden="1">VW!$A$12:$T$18</definedName>
    <definedName name="_xlnm.Print_Area" localSheetId="0">BMW!$A$1:$U$20</definedName>
    <definedName name="_xlnm.Print_Area" localSheetId="2">DAIMLER!$A$1:$T$20</definedName>
    <definedName name="_xlnm.Print_Area" localSheetId="12">EZGOOK!$A$1:$T$20</definedName>
    <definedName name="_xlnm.Print_Area" localSheetId="13">FORDOK!$A$1:$T$20</definedName>
    <definedName name="_xlnm.Print_Area" localSheetId="9">GMOK!$A$1:$T$20</definedName>
    <definedName name="_xlnm.Print_Area" localSheetId="4">KENWORTH!$A$1:$T$20</definedName>
    <definedName name="_xlnm.Print_Area" localSheetId="3">NAVISTAR!$A$1:$T$20</definedName>
    <definedName name="_xlnm.Print_Area" localSheetId="6">'STELLANTIS(PS50014)'!$A$1:$V$20</definedName>
    <definedName name="_xlnm.Print_Area" localSheetId="7">'STELLANTIS(PS50065)'!$A$1:$V$20</definedName>
    <definedName name="_xlnm.Print_Area" localSheetId="5">'STELLANTIS(PS8810)'!$A$1:$T$20</definedName>
    <definedName name="_xlnm.Print_Area" localSheetId="10">TESLAOK!$A$1:$T$18</definedName>
    <definedName name="_xlnm.Print_Area" localSheetId="1">TOYOTA!$A$1:$V$20</definedName>
    <definedName name="_xlnm.Print_Area" localSheetId="11">VOLVOOK!$A$1:$T$20</definedName>
    <definedName name="_xlnm.Print_Area" localSheetId="8">VW!$A$1:$T$20</definedName>
    <definedName name="_xlnm.Print_Titles" localSheetId="0">BMW!$10:$13</definedName>
    <definedName name="_xlnm.Print_Titles" localSheetId="2">DAIMLER!$10:$13</definedName>
    <definedName name="_xlnm.Print_Titles" localSheetId="12">EZGOOK!$10:$13</definedName>
    <definedName name="_xlnm.Print_Titles" localSheetId="13">FORDOK!$10:$13</definedName>
    <definedName name="_xlnm.Print_Titles" localSheetId="9">GMOK!$10:$13</definedName>
    <definedName name="_xlnm.Print_Titles" localSheetId="4">KENWORTH!$10:$13</definedName>
    <definedName name="_xlnm.Print_Titles" localSheetId="3">NAVISTAR!$10:$13</definedName>
    <definedName name="_xlnm.Print_Titles" localSheetId="6">'STELLANTIS(PS50014)'!$10:$13</definedName>
    <definedName name="_xlnm.Print_Titles" localSheetId="7">'STELLANTIS(PS50065)'!$10:$13</definedName>
    <definedName name="_xlnm.Print_Titles" localSheetId="5">'STELLANTIS(PS8810)'!$10:$13</definedName>
    <definedName name="_xlnm.Print_Titles" localSheetId="10">TESLAOK!$10:$13</definedName>
    <definedName name="_xlnm.Print_Titles" localSheetId="1">TOYOTA!$10:$13</definedName>
    <definedName name="_xlnm.Print_Titles" localSheetId="11">VOLVOOK!$10:$13</definedName>
    <definedName name="_xlnm.Print_Titles" localSheetId="8">VW!$10:$13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21" l="1"/>
  <c r="N18" i="21"/>
  <c r="P18" i="19"/>
  <c r="N18" i="19"/>
  <c r="R18" i="1"/>
  <c r="R19" i="1"/>
  <c r="R20" i="1"/>
  <c r="R17" i="1"/>
</calcChain>
</file>

<file path=xl/sharedStrings.xml><?xml version="1.0" encoding="utf-8"?>
<sst xmlns="http://schemas.openxmlformats.org/spreadsheetml/2006/main" count="956" uniqueCount="192">
  <si>
    <r>
      <t xml:space="preserve">Reporte de Espesores / </t>
    </r>
    <r>
      <rPr>
        <b/>
        <sz val="24"/>
        <color rgb="FF0066FF"/>
        <rFont val="Arial"/>
        <family val="2"/>
      </rPr>
      <t>Thickness Report</t>
    </r>
  </si>
  <si>
    <t>Sustituye a:                                                                                                                    N/A</t>
  </si>
  <si>
    <t>Pagina:                                                               1 de 1</t>
  </si>
  <si>
    <r>
      <t>Monitoreo de espesores, diferencia de potencial y microporos  /</t>
    </r>
    <r>
      <rPr>
        <b/>
        <u/>
        <sz val="8"/>
        <color rgb="FF0066FF"/>
        <rFont val="Arial"/>
        <family val="2"/>
      </rPr>
      <t xml:space="preserve"> Monitoring of thickness, Differential of potential and Micropores</t>
    </r>
  </si>
  <si>
    <r>
      <t xml:space="preserve">Monitoreo de pruebas / </t>
    </r>
    <r>
      <rPr>
        <b/>
        <sz val="8"/>
        <color rgb="FF0066FF"/>
        <rFont val="Arial"/>
        <family val="2"/>
      </rPr>
      <t>Monitoring of test</t>
    </r>
  </si>
  <si>
    <r>
      <t xml:space="preserve">Para la prueba se deben seleccionar  piezas baja densidad de corriente./ </t>
    </r>
    <r>
      <rPr>
        <b/>
        <sz val="8"/>
        <color rgb="FF0066FF"/>
        <rFont val="Arial"/>
        <family val="2"/>
      </rPr>
      <t>For the test its necessary select HDC and LDC Pieces</t>
    </r>
  </si>
  <si>
    <r>
      <t xml:space="preserve">Consultar el mapa de muestreo./ </t>
    </r>
    <r>
      <rPr>
        <b/>
        <sz val="8"/>
        <color rgb="FF0066FF"/>
        <rFont val="Arial"/>
        <family val="2"/>
      </rPr>
      <t xml:space="preserve">Verify Bar Map </t>
    </r>
    <r>
      <rPr>
        <b/>
        <sz val="8"/>
        <color rgb="FF996633"/>
        <rFont val="BatangChe"/>
        <family val="3"/>
      </rPr>
      <t/>
    </r>
  </si>
  <si>
    <t>No.</t>
  </si>
  <si>
    <r>
      <t xml:space="preserve">Fecha de prueba / </t>
    </r>
    <r>
      <rPr>
        <sz val="8"/>
        <color rgb="FF0066FF"/>
        <rFont val="Arial"/>
        <family val="2"/>
      </rPr>
      <t>Date of the test</t>
    </r>
  </si>
  <si>
    <r>
      <t xml:space="preserve">Numero de piezas/ </t>
    </r>
    <r>
      <rPr>
        <sz val="8"/>
        <color rgb="FF0066FF"/>
        <rFont val="Arial"/>
        <family val="2"/>
      </rPr>
      <t>Number of pieces</t>
    </r>
  </si>
  <si>
    <r>
      <t xml:space="preserve">Producción / </t>
    </r>
    <r>
      <rPr>
        <sz val="8"/>
        <color rgb="FF0066FF"/>
        <rFont val="Arial"/>
        <family val="2"/>
      </rPr>
      <t>Production</t>
    </r>
  </si>
  <si>
    <r>
      <t xml:space="preserve">Medición de espesores/ </t>
    </r>
    <r>
      <rPr>
        <sz val="8"/>
        <color rgb="FF0066FF"/>
        <rFont val="Arial"/>
        <family val="2"/>
      </rPr>
      <t>Thicknes measurement</t>
    </r>
  </si>
  <si>
    <t>MP / MC</t>
  </si>
  <si>
    <r>
      <t xml:space="preserve">Diferencia de Potencial/ </t>
    </r>
    <r>
      <rPr>
        <sz val="8"/>
        <color rgb="FF0066FF"/>
        <rFont val="Arial"/>
        <family val="2"/>
      </rPr>
      <t xml:space="preserve">Potential Differential </t>
    </r>
  </si>
  <si>
    <r>
      <t>Aceptado</t>
    </r>
    <r>
      <rPr>
        <sz val="8"/>
        <color rgb="FF0066FF"/>
        <rFont val="Arial"/>
        <family val="2"/>
      </rPr>
      <t xml:space="preserve"> (PASS)</t>
    </r>
    <r>
      <rPr>
        <sz val="8"/>
        <rFont val="Arial"/>
        <family val="2"/>
      </rPr>
      <t xml:space="preserve">/ Rechazado </t>
    </r>
    <r>
      <rPr>
        <sz val="8"/>
        <color rgb="FF0066FF"/>
        <rFont val="Arial"/>
        <family val="2"/>
      </rPr>
      <t>(FAIL)</t>
    </r>
  </si>
  <si>
    <r>
      <t xml:space="preserve">Comentarios / </t>
    </r>
    <r>
      <rPr>
        <sz val="8"/>
        <color rgb="FF0066FF"/>
        <rFont val="Arial"/>
        <family val="2"/>
      </rPr>
      <t xml:space="preserve">Comments </t>
    </r>
  </si>
  <si>
    <r>
      <t xml:space="preserve">Cr </t>
    </r>
    <r>
      <rPr>
        <sz val="8"/>
        <rFont val="Calibri"/>
        <family val="2"/>
      </rPr>
      <t/>
    </r>
  </si>
  <si>
    <t xml:space="preserve">MP Ni </t>
  </si>
  <si>
    <t xml:space="preserve">Br Ni </t>
  </si>
  <si>
    <t>SB Ni</t>
  </si>
  <si>
    <t>Ni T</t>
  </si>
  <si>
    <t>Cu</t>
  </si>
  <si>
    <t>poros/cm2</t>
  </si>
  <si>
    <t xml:space="preserve">Mp - Br </t>
  </si>
  <si>
    <t xml:space="preserve">Br - SB </t>
  </si>
  <si>
    <t xml:space="preserve"> </t>
  </si>
  <si>
    <r>
      <t xml:space="preserve">Fecha/ </t>
    </r>
    <r>
      <rPr>
        <sz val="8"/>
        <color rgb="FF0066FF"/>
        <rFont val="Arial"/>
        <family val="2"/>
      </rPr>
      <t>Date</t>
    </r>
  </si>
  <si>
    <r>
      <t xml:space="preserve">Barra / </t>
    </r>
    <r>
      <rPr>
        <sz val="8"/>
        <color rgb="FF0066FF"/>
        <rFont val="Arial"/>
        <family val="2"/>
      </rPr>
      <t>Bar</t>
    </r>
  </si>
  <si>
    <t>µm</t>
  </si>
  <si>
    <t>crack/cm</t>
  </si>
  <si>
    <t>mV</t>
  </si>
  <si>
    <r>
      <t xml:space="preserve">Realizo / </t>
    </r>
    <r>
      <rPr>
        <sz val="8"/>
        <color rgb="FF0066FF"/>
        <rFont val="Arial"/>
        <family val="2"/>
      </rPr>
      <t>Performance</t>
    </r>
  </si>
  <si>
    <r>
      <t xml:space="preserve">Especificación / </t>
    </r>
    <r>
      <rPr>
        <b/>
        <sz val="8"/>
        <color rgb="FF0066FF"/>
        <rFont val="Arial"/>
        <family val="2"/>
      </rPr>
      <t>SPECS</t>
    </r>
    <r>
      <rPr>
        <b/>
        <sz val="8"/>
        <rFont val="Arial"/>
        <family val="2"/>
      </rPr>
      <t>:</t>
    </r>
  </si>
  <si>
    <t>≥16.5</t>
  </si>
  <si>
    <t>≥25</t>
  </si>
  <si>
    <t>≥ 8 000</t>
  </si>
  <si>
    <t>≥20</t>
  </si>
  <si>
    <t>≥100</t>
  </si>
  <si>
    <t>FAIL</t>
  </si>
  <si>
    <t>A</t>
  </si>
  <si>
    <t xml:space="preserve">ALUDEC Automocion </t>
  </si>
  <si>
    <t>Código:                                                        FM-15-01-04</t>
  </si>
  <si>
    <t>Versión:                                                              3</t>
  </si>
  <si>
    <t xml:space="preserve">Vigente a partir de:                             01/09/2025                                                      </t>
  </si>
  <si>
    <t>Proxima revisión :                                       01/09/2026</t>
  </si>
  <si>
    <r>
      <t xml:space="preserve">Cliente/ </t>
    </r>
    <r>
      <rPr>
        <b/>
        <sz val="8"/>
        <color rgb="FF0066FF"/>
        <rFont val="Arial"/>
        <family val="2"/>
      </rPr>
      <t>Customer</t>
    </r>
    <r>
      <rPr>
        <b/>
        <sz val="8"/>
        <rFont val="Arial"/>
        <family val="2"/>
      </rPr>
      <t>: BMW</t>
    </r>
  </si>
  <si>
    <t>BMW G45/48 "L" CROMO CQ4</t>
  </si>
  <si>
    <t>BMW G45 SIGLA "M50" CROMO</t>
  </si>
  <si>
    <t>TA1</t>
  </si>
  <si>
    <t>FA41</t>
  </si>
  <si>
    <t>0.3-0.8</t>
  </si>
  <si>
    <t>N/E</t>
  </si>
  <si>
    <t xml:space="preserve"> ≥ 5 </t>
  </si>
  <si>
    <t xml:space="preserve"> ≥ 5</t>
  </si>
  <si>
    <t>≥15</t>
  </si>
  <si>
    <t>≥ 10 000</t>
  </si>
  <si>
    <t>≥120</t>
  </si>
  <si>
    <t>RATIO cooper to total niquel</t>
  </si>
  <si>
    <t>≥ 1,7:1</t>
  </si>
  <si>
    <t>9851404-01-C1</t>
  </si>
  <si>
    <t>5A4BAC8-04-C</t>
  </si>
  <si>
    <r>
      <t xml:space="preserve">Número de Parte / </t>
    </r>
    <r>
      <rPr>
        <sz val="8"/>
        <color rgb="FF0066FF"/>
        <rFont val="Arial"/>
        <family val="2"/>
      </rPr>
      <t xml:space="preserve">Number of the part </t>
    </r>
  </si>
  <si>
    <t>*</t>
  </si>
  <si>
    <t>ANAKAREN D.</t>
  </si>
  <si>
    <t>TA4</t>
  </si>
  <si>
    <t>FB27</t>
  </si>
  <si>
    <t xml:space="preserve"> ≥ 0.2</t>
  </si>
  <si>
    <t xml:space="preserve"> N/E </t>
  </si>
  <si>
    <t>≥ 2 000</t>
  </si>
  <si>
    <t>7542804010-C</t>
  </si>
  <si>
    <t>7542804030-C</t>
  </si>
  <si>
    <t>FB1</t>
  </si>
  <si>
    <t>TC31</t>
  </si>
  <si>
    <t>FC40</t>
  </si>
  <si>
    <t>TA2</t>
  </si>
  <si>
    <t>OSCAR P.</t>
  </si>
  <si>
    <t>VERONICA G.</t>
  </si>
  <si>
    <r>
      <t xml:space="preserve">Nombre de la Parte / </t>
    </r>
    <r>
      <rPr>
        <sz val="8"/>
        <color rgb="FF0066FF"/>
        <rFont val="Arial"/>
        <family val="2"/>
      </rPr>
      <t xml:space="preserve">Name of the part </t>
    </r>
  </si>
  <si>
    <t>TB19</t>
  </si>
  <si>
    <t>PASS</t>
  </si>
  <si>
    <t>EDGAR R.</t>
  </si>
  <si>
    <r>
      <t xml:space="preserve">Cliente/ </t>
    </r>
    <r>
      <rPr>
        <b/>
        <sz val="8"/>
        <color rgb="FF0066FF"/>
        <rFont val="Arial"/>
        <family val="2"/>
      </rPr>
      <t>Customer</t>
    </r>
    <r>
      <rPr>
        <b/>
        <sz val="8"/>
        <rFont val="Arial"/>
        <family val="2"/>
      </rPr>
      <t>: TOYOTA</t>
    </r>
  </si>
  <si>
    <t>2276841000-CP</t>
  </si>
  <si>
    <t>DTNA FREIGHTLINER CC CHROME 
PASS. (5027)</t>
  </si>
  <si>
    <t>FC1</t>
  </si>
  <si>
    <t>OF</t>
  </si>
  <si>
    <t>≥N/E</t>
  </si>
  <si>
    <t>≥15.24</t>
  </si>
  <si>
    <t xml:space="preserve"> ≥ 7.62 </t>
  </si>
  <si>
    <t xml:space="preserve"> ≥ 12.7</t>
  </si>
  <si>
    <t>≥20.32</t>
  </si>
  <si>
    <t>4279332C1B-C</t>
  </si>
  <si>
    <t>NAVISTAR E79 IC BUS HOOD BASE CHROME (5122B)</t>
  </si>
  <si>
    <t>FB13</t>
  </si>
  <si>
    <t>TC25</t>
  </si>
  <si>
    <t>06/082025</t>
  </si>
  <si>
    <t xml:space="preserve"> ≥ 8 </t>
  </si>
  <si>
    <t xml:space="preserve"> ≥ 10</t>
  </si>
  <si>
    <t xml:space="preserve"> ≥ 0.254</t>
  </si>
  <si>
    <t>R531077-C</t>
  </si>
  <si>
    <t>KENWORTH R53 "KENWORTH" CHROME (5248)</t>
  </si>
  <si>
    <t>FD5</t>
  </si>
  <si>
    <t>TC2</t>
  </si>
  <si>
    <t xml:space="preserve"> N/E</t>
  </si>
  <si>
    <r>
      <t xml:space="preserve">Cliente/ </t>
    </r>
    <r>
      <rPr>
        <b/>
        <sz val="8"/>
        <color rgb="FF0066FF"/>
        <rFont val="Arial"/>
        <family val="2"/>
      </rPr>
      <t>Customer</t>
    </r>
    <r>
      <rPr>
        <b/>
        <sz val="8"/>
        <rFont val="Arial"/>
        <family val="2"/>
      </rPr>
      <t>: DAIMLER</t>
    </r>
  </si>
  <si>
    <r>
      <t xml:space="preserve">Norma/ </t>
    </r>
    <r>
      <rPr>
        <b/>
        <sz val="8"/>
        <color rgb="FF0066FF"/>
        <rFont val="Arial"/>
        <family val="2"/>
      </rPr>
      <t>Norm</t>
    </r>
    <r>
      <rPr>
        <b/>
        <sz val="8"/>
        <rFont val="Arial"/>
        <family val="2"/>
      </rPr>
      <t>: 49-00039-001</t>
    </r>
  </si>
  <si>
    <r>
      <t xml:space="preserve">Cliente/ </t>
    </r>
    <r>
      <rPr>
        <b/>
        <sz val="8"/>
        <color rgb="FF0066FF"/>
        <rFont val="Arial"/>
        <family val="2"/>
      </rPr>
      <t>Customer</t>
    </r>
    <r>
      <rPr>
        <b/>
        <sz val="8"/>
        <rFont val="Arial"/>
        <family val="2"/>
      </rPr>
      <t>: NAVISTAR</t>
    </r>
  </si>
  <si>
    <r>
      <t xml:space="preserve">Norma/ </t>
    </r>
    <r>
      <rPr>
        <b/>
        <sz val="8"/>
        <color rgb="FF0066FF"/>
        <rFont val="Arial"/>
        <family val="2"/>
      </rPr>
      <t>Norm</t>
    </r>
    <r>
      <rPr>
        <b/>
        <sz val="8"/>
        <rFont val="Arial"/>
        <family val="2"/>
      </rPr>
      <t>: MPAPS G-7051</t>
    </r>
  </si>
  <si>
    <r>
      <t xml:space="preserve">Cliente/ </t>
    </r>
    <r>
      <rPr>
        <b/>
        <sz val="8"/>
        <color rgb="FF0066FF"/>
        <rFont val="Arial"/>
        <family val="2"/>
      </rPr>
      <t>Customer</t>
    </r>
    <r>
      <rPr>
        <b/>
        <sz val="8"/>
        <rFont val="Arial"/>
        <family val="2"/>
      </rPr>
      <t>: KENWORTH</t>
    </r>
  </si>
  <si>
    <r>
      <t xml:space="preserve">Norma/ </t>
    </r>
    <r>
      <rPr>
        <b/>
        <sz val="8"/>
        <color rgb="FF0066FF"/>
        <rFont val="Arial"/>
        <family val="2"/>
      </rPr>
      <t>Norm</t>
    </r>
    <r>
      <rPr>
        <b/>
        <sz val="8"/>
        <rFont val="Arial"/>
        <family val="2"/>
      </rPr>
      <t xml:space="preserve">: CMT0180 class 2 </t>
    </r>
  </si>
  <si>
    <t>2GJ853687E-C</t>
  </si>
  <si>
    <t xml:space="preserve">VW MONOGRAMA TAOS VW316MX </t>
  </si>
  <si>
    <t>TA11</t>
  </si>
  <si>
    <t>FC10</t>
  </si>
  <si>
    <t>17A853687L-C</t>
  </si>
  <si>
    <t>VW MONOG. JETTA VW371MX</t>
  </si>
  <si>
    <t>19.08-25</t>
  </si>
  <si>
    <t>TB16</t>
  </si>
  <si>
    <t>FA5</t>
  </si>
  <si>
    <t>0.2-0.5</t>
  </si>
  <si>
    <t xml:space="preserve"> ≥ 7.5</t>
  </si>
  <si>
    <t xml:space="preserve"> ≥7.5 </t>
  </si>
  <si>
    <t xml:space="preserve"> ≥1.5</t>
  </si>
  <si>
    <t>68325386AAP1I-C</t>
  </si>
  <si>
    <t xml:space="preserve"> Stellantis DODGE WD "DODGE" SONIC LETTERS CHROME (5377I)</t>
  </si>
  <si>
    <t>FB43</t>
  </si>
  <si>
    <t xml:space="preserve"> ≥0.25</t>
  </si>
  <si>
    <t xml:space="preserve"> ≥ 13</t>
  </si>
  <si>
    <t>≥21</t>
  </si>
  <si>
    <t>110 - 200</t>
  </si>
  <si>
    <t xml:space="preserve">VERONICA G. </t>
  </si>
  <si>
    <t>85535093-C</t>
  </si>
  <si>
    <t>GM T1SUV CADILLAC CREST 3.5" CHROME (5310)</t>
  </si>
  <si>
    <r>
      <t xml:space="preserve">Norma/ </t>
    </r>
    <r>
      <rPr>
        <b/>
        <sz val="8"/>
        <color rgb="FF0066FF"/>
        <rFont val="Arial"/>
        <family val="2"/>
      </rPr>
      <t>Norm</t>
    </r>
    <r>
      <rPr>
        <b/>
        <sz val="8"/>
        <rFont val="Arial"/>
        <family val="2"/>
      </rPr>
      <t>: GS97017:2023-03</t>
    </r>
  </si>
  <si>
    <r>
      <t xml:space="preserve">Norma/ </t>
    </r>
    <r>
      <rPr>
        <b/>
        <sz val="8"/>
        <color rgb="FF0066FF"/>
        <rFont val="Arial"/>
        <family val="2"/>
      </rPr>
      <t>Norm</t>
    </r>
    <r>
      <rPr>
        <b/>
        <sz val="8"/>
        <rFont val="Arial"/>
        <family val="2"/>
      </rPr>
      <t>: TSH6504G-S (method C)</t>
    </r>
  </si>
  <si>
    <t>BR Ni</t>
  </si>
  <si>
    <r>
      <t xml:space="preserve">Conteo de poros / </t>
    </r>
    <r>
      <rPr>
        <sz val="8"/>
        <color rgb="FF0066FF"/>
        <rFont val="Arial"/>
        <family val="2"/>
      </rPr>
      <t>Micropore count</t>
    </r>
  </si>
  <si>
    <r>
      <t>Ductilidad /</t>
    </r>
    <r>
      <rPr>
        <sz val="8"/>
        <color rgb="FF0066FF"/>
        <rFont val="Arial"/>
        <family val="2"/>
      </rPr>
      <t xml:space="preserve"> Ductility</t>
    </r>
  </si>
  <si>
    <t>≥0.1</t>
  </si>
  <si>
    <t>≥0.4</t>
  </si>
  <si>
    <t xml:space="preserve"> ≥ 50% Total Ni</t>
  </si>
  <si>
    <t>10 000(MIN) - 124,000 (MAX)</t>
  </si>
  <si>
    <r>
      <t xml:space="preserve">Cliente/ </t>
    </r>
    <r>
      <rPr>
        <b/>
        <sz val="8"/>
        <color rgb="FF0066FF"/>
        <rFont val="Arial"/>
        <family val="2"/>
      </rPr>
      <t>Customer</t>
    </r>
    <r>
      <rPr>
        <b/>
        <sz val="8"/>
        <rFont val="Arial"/>
        <family val="2"/>
      </rPr>
      <t>: CHRYSLER</t>
    </r>
  </si>
  <si>
    <r>
      <t xml:space="preserve">Norma/ </t>
    </r>
    <r>
      <rPr>
        <b/>
        <sz val="8"/>
        <color rgb="FF0066FF"/>
        <rFont val="Arial"/>
        <family val="2"/>
      </rPr>
      <t>Norm</t>
    </r>
    <r>
      <rPr>
        <b/>
        <sz val="8"/>
        <rFont val="Arial"/>
        <family val="2"/>
      </rPr>
      <t>: PS8810 METHOD 1</t>
    </r>
  </si>
  <si>
    <t>10 - 60</t>
  </si>
  <si>
    <t>≥ N/E</t>
  </si>
  <si>
    <r>
      <t xml:space="preserve">Cliente/ </t>
    </r>
    <r>
      <rPr>
        <b/>
        <sz val="8"/>
        <color rgb="FF0066FF"/>
        <rFont val="Arial"/>
        <family val="2"/>
      </rPr>
      <t>Customer</t>
    </r>
    <r>
      <rPr>
        <b/>
        <sz val="8"/>
        <rFont val="Arial"/>
        <family val="2"/>
      </rPr>
      <t>: VW</t>
    </r>
  </si>
  <si>
    <r>
      <t xml:space="preserve">Norma/ </t>
    </r>
    <r>
      <rPr>
        <b/>
        <sz val="8"/>
        <color rgb="FF0066FF"/>
        <rFont val="Arial"/>
        <family val="2"/>
      </rPr>
      <t>Norm</t>
    </r>
    <r>
      <rPr>
        <b/>
        <sz val="8"/>
        <rFont val="Arial"/>
        <family val="2"/>
      </rPr>
      <t>: TL 528-D:2021-02</t>
    </r>
  </si>
  <si>
    <r>
      <t xml:space="preserve">Cliente/ </t>
    </r>
    <r>
      <rPr>
        <b/>
        <sz val="8"/>
        <color rgb="FF0066FF"/>
        <rFont val="Arial"/>
        <family val="2"/>
      </rPr>
      <t>Customer</t>
    </r>
    <r>
      <rPr>
        <b/>
        <sz val="8"/>
        <rFont val="Arial"/>
        <family val="2"/>
      </rPr>
      <t>: GM</t>
    </r>
  </si>
  <si>
    <r>
      <t xml:space="preserve">Norma/ </t>
    </r>
    <r>
      <rPr>
        <b/>
        <sz val="8"/>
        <color rgb="FF0066FF"/>
        <rFont val="Arial"/>
        <family val="2"/>
      </rPr>
      <t>Norm</t>
    </r>
    <r>
      <rPr>
        <b/>
        <sz val="8"/>
        <rFont val="Arial"/>
        <family val="2"/>
      </rPr>
      <t>: GMW14668</t>
    </r>
  </si>
  <si>
    <t>0.15-0.50</t>
  </si>
  <si>
    <t xml:space="preserve"> ≥ 50% - 80%</t>
  </si>
  <si>
    <t xml:space="preserve"> ≥ 20% - 50%</t>
  </si>
  <si>
    <t>≥20 - 90</t>
  </si>
  <si>
    <t>≥100 - 200</t>
  </si>
  <si>
    <t>≥30</t>
  </si>
  <si>
    <t>≥0.25</t>
  </si>
  <si>
    <t>100 - 200</t>
  </si>
  <si>
    <t>15 - 35</t>
  </si>
  <si>
    <r>
      <t xml:space="preserve">Cliente/ </t>
    </r>
    <r>
      <rPr>
        <b/>
        <sz val="8"/>
        <color rgb="FF0066FF"/>
        <rFont val="Arial"/>
        <family val="2"/>
      </rPr>
      <t>Customer</t>
    </r>
    <r>
      <rPr>
        <b/>
        <sz val="8"/>
        <rFont val="Arial"/>
        <family val="2"/>
      </rPr>
      <t>: TESLA</t>
    </r>
  </si>
  <si>
    <r>
      <t xml:space="preserve">Norma/ </t>
    </r>
    <r>
      <rPr>
        <b/>
        <sz val="8"/>
        <color rgb="FF0066FF"/>
        <rFont val="Arial"/>
        <family val="2"/>
      </rPr>
      <t>Norm</t>
    </r>
    <r>
      <rPr>
        <b/>
        <sz val="8"/>
        <rFont val="Arial"/>
        <family val="2"/>
      </rPr>
      <t>: TM-0008F-M</t>
    </r>
  </si>
  <si>
    <t>0.30-0.50</t>
  </si>
  <si>
    <t>≥20 - 40</t>
  </si>
  <si>
    <t>≥120 - 200</t>
  </si>
  <si>
    <t xml:space="preserve"> ≥ 12</t>
  </si>
  <si>
    <t xml:space="preserve"> ≥ 8</t>
  </si>
  <si>
    <r>
      <t xml:space="preserve">Cliente/ </t>
    </r>
    <r>
      <rPr>
        <b/>
        <sz val="8"/>
        <color rgb="FF0066FF"/>
        <rFont val="Arial"/>
        <family val="2"/>
      </rPr>
      <t>Customer</t>
    </r>
    <r>
      <rPr>
        <b/>
        <sz val="8"/>
        <rFont val="Arial"/>
        <family val="2"/>
      </rPr>
      <t>: VOLVO</t>
    </r>
  </si>
  <si>
    <r>
      <t xml:space="preserve">Norma/ </t>
    </r>
    <r>
      <rPr>
        <b/>
        <sz val="8"/>
        <color rgb="FF0066FF"/>
        <rFont val="Arial"/>
        <family val="2"/>
      </rPr>
      <t>Norm</t>
    </r>
    <r>
      <rPr>
        <b/>
        <sz val="8"/>
        <rFont val="Arial"/>
        <family val="2"/>
      </rPr>
      <t>: STD 5732</t>
    </r>
  </si>
  <si>
    <r>
      <t xml:space="preserve">Cliente/ </t>
    </r>
    <r>
      <rPr>
        <b/>
        <sz val="8"/>
        <color rgb="FF0066FF"/>
        <rFont val="Arial"/>
        <family val="2"/>
      </rPr>
      <t>Customer</t>
    </r>
    <r>
      <rPr>
        <b/>
        <sz val="8"/>
        <rFont val="Arial"/>
        <family val="2"/>
      </rPr>
      <t>: TEXTRON</t>
    </r>
  </si>
  <si>
    <r>
      <t xml:space="preserve">Norma/ </t>
    </r>
    <r>
      <rPr>
        <b/>
        <sz val="8"/>
        <color rgb="FF0066FF"/>
        <rFont val="Arial"/>
        <family val="2"/>
      </rPr>
      <t>Norm</t>
    </r>
    <r>
      <rPr>
        <b/>
        <sz val="8"/>
        <rFont val="Arial"/>
        <family val="2"/>
      </rPr>
      <t>: GS-726-154</t>
    </r>
  </si>
  <si>
    <t>110-200</t>
  </si>
  <si>
    <t>10.-90</t>
  </si>
  <si>
    <r>
      <t xml:space="preserve">Cliente/ </t>
    </r>
    <r>
      <rPr>
        <b/>
        <sz val="8"/>
        <color rgb="FF0066FF"/>
        <rFont val="Arial"/>
        <family val="2"/>
      </rPr>
      <t>Customer</t>
    </r>
    <r>
      <rPr>
        <b/>
        <sz val="8"/>
        <rFont val="Arial"/>
        <family val="2"/>
      </rPr>
      <t>: FORD</t>
    </r>
  </si>
  <si>
    <r>
      <t xml:space="preserve">Norma/ </t>
    </r>
    <r>
      <rPr>
        <b/>
        <sz val="8"/>
        <color rgb="FF0066FF"/>
        <rFont val="Arial"/>
        <family val="2"/>
      </rPr>
      <t>Norm</t>
    </r>
    <r>
      <rPr>
        <b/>
        <sz val="8"/>
        <rFont val="Arial"/>
        <family val="2"/>
      </rPr>
      <t>: WSB-M1P83-B1</t>
    </r>
  </si>
  <si>
    <r>
      <t xml:space="preserve">Norma/ </t>
    </r>
    <r>
      <rPr>
        <b/>
        <sz val="8"/>
        <color rgb="FF0066FF"/>
        <rFont val="Arial"/>
        <family val="2"/>
      </rPr>
      <t>Norm</t>
    </r>
    <r>
      <rPr>
        <b/>
        <sz val="8"/>
        <rFont val="Arial"/>
        <family val="2"/>
      </rPr>
      <t>: PS50014</t>
    </r>
  </si>
  <si>
    <t>≥ 10,000</t>
  </si>
  <si>
    <t>10 - 90</t>
  </si>
  <si>
    <t>TOYOTA 920B TACOMA RH CHROME (4484)</t>
  </si>
  <si>
    <t>TOYOTA 920B TACOMA LH CHROME (4417)</t>
  </si>
  <si>
    <r>
      <t xml:space="preserve">Cliente/ </t>
    </r>
    <r>
      <rPr>
        <b/>
        <sz val="8"/>
        <color rgb="FF0066FF"/>
        <rFont val="Arial"/>
        <family val="2"/>
      </rPr>
      <t>Customer</t>
    </r>
    <r>
      <rPr>
        <b/>
        <sz val="8"/>
        <rFont val="Arial"/>
        <family val="2"/>
      </rPr>
      <t>: STELLANTIS</t>
    </r>
  </si>
  <si>
    <r>
      <t xml:space="preserve">Norma/ </t>
    </r>
    <r>
      <rPr>
        <b/>
        <sz val="8"/>
        <color rgb="FF0066FF"/>
        <rFont val="Arial"/>
        <family val="2"/>
      </rPr>
      <t>Norm</t>
    </r>
    <r>
      <rPr>
        <b/>
        <sz val="8"/>
        <rFont val="Arial"/>
        <family val="2"/>
      </rPr>
      <t>: PS50065 Method 1</t>
    </r>
  </si>
  <si>
    <t>%SB</t>
  </si>
  <si>
    <t>≥50</t>
  </si>
  <si>
    <t>RATIO</t>
  </si>
  <si>
    <t>≥1.2</t>
  </si>
  <si>
    <t>0.25 - 0.60</t>
  </si>
  <si>
    <t xml:space="preserve"> ≥ 1.5</t>
  </si>
  <si>
    <t xml:space="preserve"> ≥ 9 </t>
  </si>
  <si>
    <t xml:space="preserve"> ≥ 9</t>
  </si>
  <si>
    <t>≥19.5</t>
  </si>
  <si>
    <t>60-80</t>
  </si>
  <si>
    <t>≥1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</si>
</sst>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;@"/>
  </numFmts>
  <fonts count="20">
    <font>
      <sz val="10"/>
      <name val="Arial"/>
    </font>
    <font>
      <sz val="11"/>
      <color theme="1"/>
      <name val="Aptos Narrow"/>
      <family val="2"/>
      <scheme val="minor"/>
    </font>
    <font>
      <b/>
      <sz val="24"/>
      <name val="Arial"/>
      <family val="2"/>
    </font>
    <font>
      <b/>
      <sz val="24"/>
      <color rgb="FF0066FF"/>
      <name val="Arial"/>
      <family val="2"/>
    </font>
    <font>
      <sz val="8"/>
      <name val="Arial"/>
      <family val="2"/>
    </font>
    <font>
      <b/>
      <u/>
      <sz val="8"/>
      <name val="Arial"/>
      <family val="2"/>
    </font>
    <font>
      <b/>
      <u/>
      <sz val="8"/>
      <color rgb="FF0066FF"/>
      <name val="Arial"/>
      <family val="2"/>
    </font>
    <font>
      <b/>
      <sz val="8"/>
      <color rgb="FF0066FF"/>
      <name val="Arial"/>
      <family val="2"/>
    </font>
    <font>
      <b/>
      <sz val="8"/>
      <color theme="0" tint="-0.499984740745262"/>
      <name val="Arial"/>
      <family val="2"/>
    </font>
    <font>
      <b/>
      <sz val="8"/>
      <name val="Arial"/>
      <family val="2"/>
    </font>
    <font>
      <b/>
      <sz val="8"/>
      <color rgb="FF996633"/>
      <name val="BatangChe"/>
      <family val="3"/>
    </font>
    <font>
      <sz val="12"/>
      <name val="宋体"/>
      <charset val="134"/>
    </font>
    <font>
      <sz val="8"/>
      <color rgb="FF0066FF"/>
      <name val="Arial"/>
      <family val="2"/>
    </font>
    <font>
      <sz val="8"/>
      <name val="Calibri"/>
      <family val="2"/>
    </font>
    <font>
      <b/>
      <sz val="8"/>
      <color theme="0" tint="-0.14999847407452621"/>
      <name val="Arial"/>
      <family val="2"/>
    </font>
    <font>
      <sz val="8"/>
      <color indexed="36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8"/>
      <color rgb="FF00B05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66FF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1" fillId="0" borderId="0"/>
    <xf numFmtId="0" fontId="1" fillId="0" borderId="0"/>
  </cellStyleXfs>
  <cellXfs count="167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/>
    </xf>
    <xf numFmtId="0" fontId="4" fillId="2" borderId="0" xfId="0" applyFont="1" applyFill="1"/>
    <xf numFmtId="0" fontId="4" fillId="2" borderId="5" xfId="0" applyFont="1" applyFill="1" applyBorder="1"/>
    <xf numFmtId="0" fontId="4" fillId="4" borderId="1" xfId="0" applyFont="1" applyFill="1" applyBorder="1"/>
    <xf numFmtId="0" fontId="4" fillId="4" borderId="2" xfId="0" applyFont="1" applyFill="1" applyBorder="1"/>
    <xf numFmtId="0" fontId="9" fillId="4" borderId="2" xfId="0" applyFont="1" applyFill="1" applyBorder="1"/>
    <xf numFmtId="0" fontId="9" fillId="4" borderId="3" xfId="0" applyFont="1" applyFill="1" applyBorder="1"/>
    <xf numFmtId="0" fontId="4" fillId="4" borderId="7" xfId="0" applyFont="1" applyFill="1" applyBorder="1"/>
    <xf numFmtId="0" fontId="9" fillId="4" borderId="0" xfId="0" applyFont="1" applyFill="1"/>
    <xf numFmtId="0" fontId="9" fillId="4" borderId="8" xfId="0" applyFont="1" applyFill="1" applyBorder="1"/>
    <xf numFmtId="0" fontId="9" fillId="4" borderId="0" xfId="1" applyFont="1" applyFill="1" applyAlignment="1">
      <alignment wrapText="1"/>
    </xf>
    <xf numFmtId="0" fontId="9" fillId="4" borderId="0" xfId="1" applyFont="1" applyFill="1"/>
    <xf numFmtId="0" fontId="9" fillId="4" borderId="8" xfId="1" applyFont="1" applyFill="1" applyBorder="1"/>
    <xf numFmtId="0" fontId="4" fillId="4" borderId="4" xfId="0" applyFont="1" applyFill="1" applyBorder="1"/>
    <xf numFmtId="0" fontId="9" fillId="4" borderId="5" xfId="0" applyFont="1" applyFill="1" applyBorder="1"/>
    <xf numFmtId="0" fontId="9" fillId="4" borderId="5" xfId="1" applyFont="1" applyFill="1" applyBorder="1"/>
    <xf numFmtId="0" fontId="9" fillId="4" borderId="6" xfId="0" applyFont="1" applyFill="1" applyBorder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wrapText="1"/>
    </xf>
    <xf numFmtId="0" fontId="4" fillId="2" borderId="15" xfId="0" applyFont="1" applyFill="1" applyBorder="1" applyAlignment="1">
      <alignment horizontal="center" wrapText="1"/>
    </xf>
    <xf numFmtId="0" fontId="4" fillId="2" borderId="16" xfId="0" applyFont="1" applyFill="1" applyBorder="1" applyAlignment="1">
      <alignment horizontal="center" wrapText="1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14" fillId="5" borderId="26" xfId="0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0" fontId="14" fillId="5" borderId="24" xfId="0" applyFont="1" applyFill="1" applyBorder="1" applyAlignment="1">
      <alignment horizontal="center"/>
    </xf>
    <xf numFmtId="0" fontId="14" fillId="5" borderId="8" xfId="0" applyFont="1" applyFill="1" applyBorder="1" applyAlignment="1">
      <alignment horizontal="center"/>
    </xf>
    <xf numFmtId="0" fontId="14" fillId="5" borderId="27" xfId="0" applyFont="1" applyFill="1" applyBorder="1" applyAlignment="1">
      <alignment horizontal="center"/>
    </xf>
    <xf numFmtId="49" fontId="14" fillId="5" borderId="28" xfId="0" applyNumberFormat="1" applyFont="1" applyFill="1" applyBorder="1" applyAlignment="1">
      <alignment horizontal="center"/>
    </xf>
    <xf numFmtId="0" fontId="14" fillId="5" borderId="0" xfId="0" applyFont="1" applyFill="1" applyAlignment="1">
      <alignment horizontal="center" wrapText="1"/>
    </xf>
    <xf numFmtId="0" fontId="4" fillId="0" borderId="29" xfId="0" applyFont="1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2" fontId="4" fillId="0" borderId="29" xfId="0" applyNumberFormat="1" applyFont="1" applyBorder="1" applyAlignment="1">
      <alignment horizontal="center"/>
    </xf>
    <xf numFmtId="2" fontId="17" fillId="0" borderId="29" xfId="0" applyNumberFormat="1" applyFont="1" applyBorder="1" applyAlignment="1">
      <alignment horizontal="center"/>
    </xf>
    <xf numFmtId="3" fontId="17" fillId="0" borderId="29" xfId="0" applyNumberFormat="1" applyFont="1" applyBorder="1" applyAlignment="1">
      <alignment horizontal="center"/>
    </xf>
    <xf numFmtId="0" fontId="17" fillId="0" borderId="29" xfId="0" applyFont="1" applyBorder="1" applyAlignment="1">
      <alignment horizontal="center"/>
    </xf>
    <xf numFmtId="0" fontId="18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4" borderId="0" xfId="0" applyFont="1" applyFill="1" applyBorder="1"/>
    <xf numFmtId="2" fontId="4" fillId="0" borderId="30" xfId="0" applyNumberFormat="1" applyFont="1" applyBorder="1" applyAlignment="1">
      <alignment horizontal="center"/>
    </xf>
    <xf numFmtId="0" fontId="17" fillId="0" borderId="30" xfId="0" applyFont="1" applyBorder="1" applyAlignment="1">
      <alignment horizontal="center"/>
    </xf>
    <xf numFmtId="2" fontId="17" fillId="0" borderId="30" xfId="0" applyNumberFormat="1" applyFont="1" applyBorder="1" applyAlignment="1">
      <alignment horizontal="center"/>
    </xf>
    <xf numFmtId="3" fontId="17" fillId="0" borderId="30" xfId="0" applyNumberFormat="1" applyFont="1" applyBorder="1" applyAlignment="1">
      <alignment horizontal="center"/>
    </xf>
    <xf numFmtId="0" fontId="18" fillId="0" borderId="30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/>
    </xf>
    <xf numFmtId="2" fontId="4" fillId="0" borderId="29" xfId="0" applyNumberFormat="1" applyFont="1" applyBorder="1" applyAlignment="1">
      <alignment horizontal="center" vertical="center"/>
    </xf>
    <xf numFmtId="2" fontId="17" fillId="0" borderId="29" xfId="0" applyNumberFormat="1" applyFont="1" applyBorder="1" applyAlignment="1">
      <alignment horizontal="center" vertical="center"/>
    </xf>
    <xf numFmtId="3" fontId="17" fillId="0" borderId="29" xfId="0" applyNumberFormat="1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2" fontId="4" fillId="0" borderId="30" xfId="0" applyNumberFormat="1" applyFont="1" applyBorder="1" applyAlignment="1">
      <alignment horizontal="center" vertical="center"/>
    </xf>
    <xf numFmtId="2" fontId="17" fillId="0" borderId="30" xfId="0" applyNumberFormat="1" applyFont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9" fillId="2" borderId="0" xfId="0" applyFont="1" applyFill="1" applyBorder="1" applyAlignment="1">
      <alignment horizontal="center"/>
    </xf>
    <xf numFmtId="0" fontId="4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35" xfId="0" applyFont="1" applyFill="1" applyBorder="1" applyAlignment="1">
      <alignment vertical="center" wrapText="1"/>
    </xf>
    <xf numFmtId="0" fontId="4" fillId="2" borderId="21" xfId="0" applyFont="1" applyFill="1" applyBorder="1" applyAlignment="1">
      <alignment vertical="center" wrapText="1"/>
    </xf>
    <xf numFmtId="0" fontId="14" fillId="5" borderId="24" xfId="0" applyFont="1" applyFill="1" applyBorder="1" applyAlignment="1">
      <alignment horizontal="center" wrapText="1"/>
    </xf>
    <xf numFmtId="0" fontId="14" fillId="5" borderId="27" xfId="0" applyFont="1" applyFill="1" applyBorder="1" applyAlignment="1">
      <alignment horizontal="center" wrapText="1"/>
    </xf>
    <xf numFmtId="0" fontId="4" fillId="2" borderId="18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17" fontId="14" fillId="5" borderId="0" xfId="0" applyNumberFormat="1" applyFont="1" applyFill="1" applyAlignment="1">
      <alignment horizontal="center"/>
    </xf>
    <xf numFmtId="0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14" fillId="5" borderId="30" xfId="0" applyFont="1" applyFill="1" applyBorder="1" applyAlignment="1">
      <alignment horizontal="center"/>
    </xf>
    <xf numFmtId="0" fontId="14" fillId="5" borderId="33" xfId="0" applyFont="1" applyFill="1" applyBorder="1" applyAlignment="1">
      <alignment horizontal="center"/>
    </xf>
    <xf numFmtId="0" fontId="14" fillId="5" borderId="37" xfId="0" applyFont="1" applyFill="1" applyBorder="1" applyAlignment="1">
      <alignment horizontal="center"/>
    </xf>
    <xf numFmtId="0" fontId="2" fillId="2" borderId="7" xfId="0" applyFont="1" applyFill="1" applyBorder="1" applyAlignment="1">
      <alignment vertical="center"/>
    </xf>
    <xf numFmtId="0" fontId="9" fillId="4" borderId="7" xfId="0" applyFont="1" applyFill="1" applyBorder="1" applyAlignment="1">
      <alignment horizontal="left" wrapText="1"/>
    </xf>
    <xf numFmtId="0" fontId="9" fillId="4" borderId="0" xfId="0" applyFont="1" applyFill="1" applyAlignment="1">
      <alignment horizontal="left" wrapText="1"/>
    </xf>
    <xf numFmtId="0" fontId="9" fillId="4" borderId="8" xfId="0" applyFont="1" applyFill="1" applyBorder="1" applyAlignment="1">
      <alignment horizontal="left" wrapText="1"/>
    </xf>
    <xf numFmtId="0" fontId="19" fillId="2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center" vertical="center" wrapText="1"/>
    </xf>
    <xf numFmtId="14" fontId="4" fillId="2" borderId="4" xfId="0" applyNumberFormat="1" applyFont="1" applyFill="1" applyBorder="1" applyAlignment="1">
      <alignment horizontal="center" vertical="center" wrapText="1"/>
    </xf>
    <xf numFmtId="14" fontId="4" fillId="2" borderId="6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left" wrapText="1"/>
    </xf>
    <xf numFmtId="0" fontId="9" fillId="4" borderId="2" xfId="0" applyFont="1" applyFill="1" applyBorder="1" applyAlignment="1">
      <alignment horizontal="left" wrapText="1"/>
    </xf>
    <xf numFmtId="0" fontId="9" fillId="4" borderId="3" xfId="0" applyFont="1" applyFill="1" applyBorder="1" applyAlignment="1">
      <alignment horizontal="lef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13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horizontal="center" wrapText="1"/>
    </xf>
    <xf numFmtId="0" fontId="4" fillId="2" borderId="17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9" fillId="2" borderId="18" xfId="0" applyFont="1" applyFill="1" applyBorder="1" applyAlignment="1">
      <alignment horizontal="center"/>
    </xf>
    <xf numFmtId="164" fontId="4" fillId="0" borderId="29" xfId="0" applyNumberFormat="1" applyFont="1" applyBorder="1" applyAlignment="1">
      <alignment horizontal="center" vertical="center"/>
    </xf>
    <xf numFmtId="164" fontId="4" fillId="0" borderId="30" xfId="0" applyNumberFormat="1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29" xfId="0" applyNumberFormat="1" applyFont="1" applyBorder="1" applyAlignment="1">
      <alignment horizontal="center" vertical="center"/>
    </xf>
    <xf numFmtId="49" fontId="17" fillId="0" borderId="30" xfId="0" applyNumberFormat="1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horizontal="center" vertical="center"/>
    </xf>
    <xf numFmtId="0" fontId="15" fillId="2" borderId="31" xfId="0" applyFont="1" applyFill="1" applyBorder="1" applyAlignment="1">
      <alignment horizontal="center" vertical="center"/>
    </xf>
    <xf numFmtId="0" fontId="17" fillId="2" borderId="29" xfId="0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14" fillId="5" borderId="26" xfId="0" applyFont="1" applyFill="1" applyBorder="1" applyAlignment="1">
      <alignment horizontal="center" wrapText="1"/>
    </xf>
  </cellXfs>
  <cellStyles count="3">
    <cellStyle name="Normal" xfId="0" builtinId="0"/>
    <cellStyle name="Normal 3" xfId="2" xr:uid="{B5C0FA91-62A1-42BD-8A09-A03B0B928445}"/>
    <cellStyle name="Normale_Foglio1" xfId="1" xr:uid="{23318529-5949-4F3A-B9B3-AA780D630CB3}"/>
  </cellStyles>
  <dxfs count="309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FF0000"/>
      </font>
    </dxf>
    <dxf>
      <font>
        <color rgb="FFC00000"/>
      </font>
      <fill>
        <patternFill patternType="none">
          <bgColor auto="1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FF0000"/>
      </font>
    </dxf>
    <dxf>
      <font>
        <color rgb="FFC00000"/>
      </font>
      <fill>
        <patternFill patternType="none">
          <bgColor auto="1"/>
        </patternFill>
      </fill>
    </dxf>
    <dxf>
      <font>
        <color rgb="FFFF0000"/>
      </font>
    </dxf>
    <dxf>
      <font>
        <color rgb="FFC00000"/>
      </font>
      <fill>
        <patternFill patternType="none">
          <bgColor auto="1"/>
        </patternFill>
      </fill>
    </dxf>
    <dxf>
      <font>
        <color rgb="FFFF0000"/>
      </font>
    </dxf>
    <dxf>
      <font>
        <color rgb="FFC00000"/>
      </font>
      <fill>
        <patternFill patternType="none">
          <bgColor auto="1"/>
        </patternFill>
      </fill>
    </dxf>
    <dxf>
      <font>
        <color rgb="FFFF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00B050"/>
      </font>
    </dxf>
    <dxf>
      <font>
        <color rgb="FFFF0000"/>
      </font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0000"/>
      </font>
    </dxf>
    <dxf>
      <font>
        <color rgb="FFC00000"/>
      </font>
    </dxf>
    <dxf>
      <font>
        <color theme="0"/>
      </font>
      <fill>
        <patternFill>
          <bgColor rgb="FFC00000"/>
        </patternFill>
      </fill>
    </dxf>
    <dxf>
      <font>
        <color rgb="FFFF0000"/>
      </font>
    </dxf>
    <dxf>
      <font>
        <color rgb="FFC0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0"/>
      </font>
      <fill>
        <patternFill>
          <bgColor rgb="FFC00000"/>
        </patternFill>
      </fill>
    </dxf>
    <dxf>
      <font>
        <color rgb="FFFF0000"/>
      </font>
    </dxf>
    <dxf>
      <font>
        <color rgb="FFC00000"/>
      </font>
    </dxf>
    <dxf>
      <font>
        <color theme="0"/>
      </font>
      <fill>
        <patternFill>
          <bgColor rgb="FFC00000"/>
        </patternFill>
      </fill>
    </dxf>
    <dxf>
      <font>
        <color rgb="FFC00000"/>
      </font>
    </dxf>
    <dxf>
      <font>
        <color rgb="FFFF0000"/>
      </font>
    </dxf>
    <dxf>
      <font>
        <color theme="0"/>
      </font>
      <fill>
        <patternFill>
          <bgColor rgb="FFC00000"/>
        </patternFill>
      </fill>
    </dxf>
    <dxf>
      <font>
        <color rgb="FFFF0000"/>
      </font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C00000"/>
        </patternFill>
      </fill>
    </dxf>
    <dxf>
      <font>
        <color rgb="FF00B050"/>
      </font>
    </dxf>
    <dxf>
      <font>
        <color rgb="FFFF0000"/>
      </font>
    </dxf>
    <dxf>
      <font>
        <color rgb="FFC00000"/>
      </font>
    </dxf>
    <dxf>
      <font>
        <color theme="0"/>
      </font>
      <fill>
        <patternFill>
          <bgColor rgb="FFC00000"/>
        </patternFill>
      </fill>
    </dxf>
    <dxf>
      <font>
        <color rgb="FFFF0000"/>
      </font>
    </dxf>
    <dxf>
      <font>
        <color rgb="FFC00000"/>
      </font>
    </dxf>
    <dxf>
      <font>
        <color theme="0"/>
      </font>
      <fill>
        <patternFill>
          <bgColor rgb="FFC00000"/>
        </patternFill>
      </fill>
    </dxf>
    <dxf>
      <font>
        <color rgb="FFFF0000"/>
      </font>
    </dxf>
    <dxf>
      <font>
        <color rgb="FFC00000"/>
      </font>
    </dxf>
    <dxf>
      <font>
        <color theme="0"/>
      </font>
      <fill>
        <patternFill>
          <bgColor rgb="FFC00000"/>
        </patternFill>
      </fill>
    </dxf>
    <dxf>
      <font>
        <color rgb="FFFF0000"/>
      </font>
    </dxf>
    <dxf>
      <font>
        <color rgb="FFC00000"/>
      </font>
    </dxf>
    <dxf>
      <font>
        <color theme="0"/>
      </font>
      <fill>
        <patternFill>
          <bgColor rgb="FFC00000"/>
        </patternFill>
      </fill>
    </dxf>
    <dxf>
      <font>
        <color rgb="FFC00000"/>
      </font>
    </dxf>
    <dxf>
      <font>
        <color theme="0"/>
      </font>
      <fill>
        <patternFill>
          <bgColor rgb="FFC00000"/>
        </patternFill>
      </fill>
    </dxf>
    <dxf>
      <font>
        <color rgb="FFFF0000"/>
      </font>
    </dxf>
    <dxf>
      <font>
        <color rgb="FFC00000"/>
      </font>
    </dxf>
    <dxf>
      <font>
        <color theme="0"/>
      </font>
      <fill>
        <patternFill>
          <bgColor rgb="FFC00000"/>
        </patternFill>
      </fill>
    </dxf>
    <dxf>
      <font>
        <color rgb="FFFF0000"/>
      </font>
    </dxf>
    <dxf>
      <font>
        <color rgb="FFC00000"/>
      </font>
    </dxf>
    <dxf>
      <font>
        <color theme="0"/>
      </font>
      <fill>
        <patternFill>
          <bgColor rgb="FFC0000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66675</xdr:rowOff>
    </xdr:from>
    <xdr:to>
      <xdr:col>1</xdr:col>
      <xdr:colOff>247651</xdr:colOff>
      <xdr:row>1</xdr:row>
      <xdr:rowOff>325382</xdr:rowOff>
    </xdr:to>
    <xdr:pic>
      <xdr:nvPicPr>
        <xdr:cNvPr id="3" name="Imagen 2" descr="Logotipo de ALUDEC SA">
          <a:extLst>
            <a:ext uri="{FF2B5EF4-FFF2-40B4-BE49-F238E27FC236}">
              <a16:creationId xmlns:a16="http://schemas.microsoft.com/office/drawing/2014/main" id="{E8E57448-8200-C3C2-5760-174461389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66675"/>
          <a:ext cx="533400" cy="525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66675</xdr:rowOff>
    </xdr:from>
    <xdr:to>
      <xdr:col>1</xdr:col>
      <xdr:colOff>247651</xdr:colOff>
      <xdr:row>1</xdr:row>
      <xdr:rowOff>325382</xdr:rowOff>
    </xdr:to>
    <xdr:pic>
      <xdr:nvPicPr>
        <xdr:cNvPr id="2" name="Imagen 1" descr="Logotipo de ALUDEC SA">
          <a:extLst>
            <a:ext uri="{FF2B5EF4-FFF2-40B4-BE49-F238E27FC236}">
              <a16:creationId xmlns:a16="http://schemas.microsoft.com/office/drawing/2014/main" id="{9E900189-C5FC-48D8-9A6C-CE2E03D47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66675"/>
          <a:ext cx="537210" cy="525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66675</xdr:rowOff>
    </xdr:from>
    <xdr:to>
      <xdr:col>1</xdr:col>
      <xdr:colOff>247651</xdr:colOff>
      <xdr:row>1</xdr:row>
      <xdr:rowOff>325382</xdr:rowOff>
    </xdr:to>
    <xdr:pic>
      <xdr:nvPicPr>
        <xdr:cNvPr id="2" name="Imagen 1" descr="Logotipo de ALUDEC SA">
          <a:extLst>
            <a:ext uri="{FF2B5EF4-FFF2-40B4-BE49-F238E27FC236}">
              <a16:creationId xmlns:a16="http://schemas.microsoft.com/office/drawing/2014/main" id="{1EBDA412-37E6-4E11-A3EE-6B65E95BD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66675"/>
          <a:ext cx="537210" cy="525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66675</xdr:rowOff>
    </xdr:from>
    <xdr:to>
      <xdr:col>1</xdr:col>
      <xdr:colOff>247651</xdr:colOff>
      <xdr:row>1</xdr:row>
      <xdr:rowOff>325382</xdr:rowOff>
    </xdr:to>
    <xdr:pic>
      <xdr:nvPicPr>
        <xdr:cNvPr id="2" name="Imagen 1" descr="Logotipo de ALUDEC SA">
          <a:extLst>
            <a:ext uri="{FF2B5EF4-FFF2-40B4-BE49-F238E27FC236}">
              <a16:creationId xmlns:a16="http://schemas.microsoft.com/office/drawing/2014/main" id="{DD7F7672-1B10-4A74-AA94-9E6508DBC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66675"/>
          <a:ext cx="537210" cy="525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66675</xdr:rowOff>
    </xdr:from>
    <xdr:to>
      <xdr:col>1</xdr:col>
      <xdr:colOff>247651</xdr:colOff>
      <xdr:row>1</xdr:row>
      <xdr:rowOff>325382</xdr:rowOff>
    </xdr:to>
    <xdr:pic>
      <xdr:nvPicPr>
        <xdr:cNvPr id="2" name="Imagen 1" descr="Logotipo de ALUDEC SA">
          <a:extLst>
            <a:ext uri="{FF2B5EF4-FFF2-40B4-BE49-F238E27FC236}">
              <a16:creationId xmlns:a16="http://schemas.microsoft.com/office/drawing/2014/main" id="{E8E449C5-8FBF-40DA-86FF-9D7BD5ED5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66675"/>
          <a:ext cx="537210" cy="525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66675</xdr:rowOff>
    </xdr:from>
    <xdr:to>
      <xdr:col>1</xdr:col>
      <xdr:colOff>247651</xdr:colOff>
      <xdr:row>1</xdr:row>
      <xdr:rowOff>325382</xdr:rowOff>
    </xdr:to>
    <xdr:pic>
      <xdr:nvPicPr>
        <xdr:cNvPr id="2" name="Imagen 1" descr="Logotipo de ALUDEC SA">
          <a:extLst>
            <a:ext uri="{FF2B5EF4-FFF2-40B4-BE49-F238E27FC236}">
              <a16:creationId xmlns:a16="http://schemas.microsoft.com/office/drawing/2014/main" id="{283DAE80-990E-48E2-831E-6956E8947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66675"/>
          <a:ext cx="537210" cy="525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66675</xdr:rowOff>
    </xdr:from>
    <xdr:to>
      <xdr:col>1</xdr:col>
      <xdr:colOff>247651</xdr:colOff>
      <xdr:row>1</xdr:row>
      <xdr:rowOff>325382</xdr:rowOff>
    </xdr:to>
    <xdr:pic>
      <xdr:nvPicPr>
        <xdr:cNvPr id="2" name="Imagen 1" descr="Logotipo de ALUDEC SA">
          <a:extLst>
            <a:ext uri="{FF2B5EF4-FFF2-40B4-BE49-F238E27FC236}">
              <a16:creationId xmlns:a16="http://schemas.microsoft.com/office/drawing/2014/main" id="{E535C43A-4C84-46DB-AFB1-8B540A9F4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66675"/>
          <a:ext cx="523875" cy="525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66675</xdr:rowOff>
    </xdr:from>
    <xdr:to>
      <xdr:col>1</xdr:col>
      <xdr:colOff>247651</xdr:colOff>
      <xdr:row>1</xdr:row>
      <xdr:rowOff>325382</xdr:rowOff>
    </xdr:to>
    <xdr:pic>
      <xdr:nvPicPr>
        <xdr:cNvPr id="2" name="Imagen 1" descr="Logotipo de ALUDEC SA">
          <a:extLst>
            <a:ext uri="{FF2B5EF4-FFF2-40B4-BE49-F238E27FC236}">
              <a16:creationId xmlns:a16="http://schemas.microsoft.com/office/drawing/2014/main" id="{EE89DCB7-C89E-4D18-AE11-04089888B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66675"/>
          <a:ext cx="537210" cy="525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66675</xdr:rowOff>
    </xdr:from>
    <xdr:to>
      <xdr:col>1</xdr:col>
      <xdr:colOff>247651</xdr:colOff>
      <xdr:row>1</xdr:row>
      <xdr:rowOff>325382</xdr:rowOff>
    </xdr:to>
    <xdr:pic>
      <xdr:nvPicPr>
        <xdr:cNvPr id="2" name="Imagen 1" descr="Logotipo de ALUDEC SA">
          <a:extLst>
            <a:ext uri="{FF2B5EF4-FFF2-40B4-BE49-F238E27FC236}">
              <a16:creationId xmlns:a16="http://schemas.microsoft.com/office/drawing/2014/main" id="{23331A19-F0F8-4A6D-84F2-AA5FB6C3E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66675"/>
          <a:ext cx="537210" cy="525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66675</xdr:rowOff>
    </xdr:from>
    <xdr:to>
      <xdr:col>1</xdr:col>
      <xdr:colOff>247651</xdr:colOff>
      <xdr:row>1</xdr:row>
      <xdr:rowOff>325382</xdr:rowOff>
    </xdr:to>
    <xdr:pic>
      <xdr:nvPicPr>
        <xdr:cNvPr id="2" name="Imagen 1" descr="Logotipo de ALUDEC SA">
          <a:extLst>
            <a:ext uri="{FF2B5EF4-FFF2-40B4-BE49-F238E27FC236}">
              <a16:creationId xmlns:a16="http://schemas.microsoft.com/office/drawing/2014/main" id="{90C97DBC-4960-4C34-BBB2-E0392666F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66675"/>
          <a:ext cx="537210" cy="525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66675</xdr:rowOff>
    </xdr:from>
    <xdr:to>
      <xdr:col>1</xdr:col>
      <xdr:colOff>247651</xdr:colOff>
      <xdr:row>1</xdr:row>
      <xdr:rowOff>325382</xdr:rowOff>
    </xdr:to>
    <xdr:pic>
      <xdr:nvPicPr>
        <xdr:cNvPr id="2" name="Imagen 1" descr="Logotipo de ALUDEC SA">
          <a:extLst>
            <a:ext uri="{FF2B5EF4-FFF2-40B4-BE49-F238E27FC236}">
              <a16:creationId xmlns:a16="http://schemas.microsoft.com/office/drawing/2014/main" id="{1B2A3FEC-220C-4C2E-AC06-4BAA2488C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66675"/>
          <a:ext cx="523875" cy="525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66675</xdr:rowOff>
    </xdr:from>
    <xdr:to>
      <xdr:col>1</xdr:col>
      <xdr:colOff>247651</xdr:colOff>
      <xdr:row>1</xdr:row>
      <xdr:rowOff>325382</xdr:rowOff>
    </xdr:to>
    <xdr:pic>
      <xdr:nvPicPr>
        <xdr:cNvPr id="2" name="Imagen 1" descr="Logotipo de ALUDEC SA">
          <a:extLst>
            <a:ext uri="{FF2B5EF4-FFF2-40B4-BE49-F238E27FC236}">
              <a16:creationId xmlns:a16="http://schemas.microsoft.com/office/drawing/2014/main" id="{F72C89C3-0C09-478B-88F8-8111EB0CD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66675"/>
          <a:ext cx="523875" cy="525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66675</xdr:rowOff>
    </xdr:from>
    <xdr:to>
      <xdr:col>1</xdr:col>
      <xdr:colOff>247651</xdr:colOff>
      <xdr:row>1</xdr:row>
      <xdr:rowOff>325382</xdr:rowOff>
    </xdr:to>
    <xdr:pic>
      <xdr:nvPicPr>
        <xdr:cNvPr id="2" name="Imagen 1" descr="Logotipo de ALUDEC SA">
          <a:extLst>
            <a:ext uri="{FF2B5EF4-FFF2-40B4-BE49-F238E27FC236}">
              <a16:creationId xmlns:a16="http://schemas.microsoft.com/office/drawing/2014/main" id="{C9D85A48-5409-474F-A20D-AB6C4157A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66675"/>
          <a:ext cx="523875" cy="525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66675</xdr:rowOff>
    </xdr:from>
    <xdr:to>
      <xdr:col>1</xdr:col>
      <xdr:colOff>247651</xdr:colOff>
      <xdr:row>1</xdr:row>
      <xdr:rowOff>325382</xdr:rowOff>
    </xdr:to>
    <xdr:pic>
      <xdr:nvPicPr>
        <xdr:cNvPr id="2" name="Imagen 1" descr="Logotipo de ALUDEC SA">
          <a:extLst>
            <a:ext uri="{FF2B5EF4-FFF2-40B4-BE49-F238E27FC236}">
              <a16:creationId xmlns:a16="http://schemas.microsoft.com/office/drawing/2014/main" id="{178EFBC2-FBD6-402F-91A1-0C2A308D9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66675"/>
          <a:ext cx="523875" cy="525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51765-FE8F-4601-8B85-62E691513B3C}">
  <dimension ref="A1:AG343"/>
  <sheetViews>
    <sheetView view="pageBreakPreview" zoomScale="80" zoomScaleNormal="100" zoomScaleSheetLayoutView="80" workbookViewId="0">
      <pane ySplit="16" topLeftCell="A17" activePane="bottomLeft" state="frozen"/>
      <selection pane="bottomLeft" activeCell="I19" sqref="I19"/>
    </sheetView>
  </sheetViews>
  <sheetFormatPr baseColWidth="10" defaultColWidth="9.33203125" defaultRowHeight="10.199999999999999"/>
  <cols>
    <col min="1" max="1" width="5.33203125" style="1" customWidth="1"/>
    <col min="2" max="2" width="16.6640625" style="1" customWidth="1"/>
    <col min="3" max="3" width="17.6640625" style="1" customWidth="1"/>
    <col min="4" max="4" width="14.6640625" style="1" customWidth="1"/>
    <col min="5" max="5" width="11" style="1" customWidth="1"/>
    <col min="6" max="6" width="11.33203125" style="1" customWidth="1"/>
    <col min="7" max="7" width="6.6640625" style="1" customWidth="1"/>
    <col min="8" max="8" width="11.33203125" style="1" customWidth="1"/>
    <col min="9" max="9" width="8.44140625" style="1" customWidth="1"/>
    <col min="10" max="10" width="5.33203125" style="1" customWidth="1"/>
    <col min="11" max="11" width="6.109375" style="1" customWidth="1"/>
    <col min="12" max="12" width="11.6640625" style="1" customWidth="1"/>
    <col min="13" max="13" width="9" style="1" customWidth="1"/>
    <col min="14" max="14" width="5.33203125" style="1" customWidth="1"/>
    <col min="15" max="15" width="10.88671875" style="1" customWidth="1"/>
    <col min="16" max="17" width="6.109375" style="1" customWidth="1"/>
    <col min="18" max="18" width="18" style="1" customWidth="1"/>
    <col min="19" max="19" width="9.88671875" style="1" customWidth="1"/>
    <col min="20" max="20" width="14.88671875" style="46" customWidth="1"/>
    <col min="21" max="21" width="33" style="46" customWidth="1"/>
    <col min="22" max="16384" width="9.33203125" style="1"/>
  </cols>
  <sheetData>
    <row r="1" spans="1:33" ht="21" customHeight="1">
      <c r="A1" s="88" t="s">
        <v>40</v>
      </c>
      <c r="B1" s="89"/>
      <c r="C1" s="89"/>
      <c r="D1" s="90"/>
      <c r="E1" s="94" t="s">
        <v>0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6"/>
    </row>
    <row r="2" spans="1:33" ht="29.25" customHeight="1" thickBot="1">
      <c r="A2" s="91"/>
      <c r="B2" s="92"/>
      <c r="C2" s="92"/>
      <c r="D2" s="93"/>
      <c r="E2" s="97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9"/>
    </row>
    <row r="3" spans="1:33" ht="22.5" customHeight="1">
      <c r="A3" s="100" t="s">
        <v>41</v>
      </c>
      <c r="B3" s="101"/>
      <c r="C3" s="102"/>
      <c r="D3" s="100" t="s">
        <v>42</v>
      </c>
      <c r="E3" s="102"/>
      <c r="F3" s="100" t="s">
        <v>43</v>
      </c>
      <c r="G3" s="101"/>
      <c r="H3" s="102"/>
      <c r="I3" s="100" t="s">
        <v>44</v>
      </c>
      <c r="J3" s="101"/>
      <c r="K3" s="101"/>
      <c r="L3" s="102"/>
      <c r="M3" s="100" t="s">
        <v>1</v>
      </c>
      <c r="N3" s="101"/>
      <c r="O3" s="101"/>
      <c r="P3" s="101"/>
      <c r="Q3" s="101"/>
      <c r="R3" s="101"/>
      <c r="S3" s="101"/>
      <c r="T3" s="106" t="s">
        <v>2</v>
      </c>
      <c r="U3" s="107"/>
    </row>
    <row r="4" spans="1:33" ht="23.25" customHeight="1" thickBot="1">
      <c r="A4" s="103"/>
      <c r="B4" s="104"/>
      <c r="C4" s="105"/>
      <c r="D4" s="103"/>
      <c r="E4" s="105"/>
      <c r="F4" s="103"/>
      <c r="G4" s="104"/>
      <c r="H4" s="105"/>
      <c r="I4" s="103"/>
      <c r="J4" s="104"/>
      <c r="K4" s="104"/>
      <c r="L4" s="105"/>
      <c r="M4" s="103"/>
      <c r="N4" s="104"/>
      <c r="O4" s="104"/>
      <c r="P4" s="104"/>
      <c r="Q4" s="104"/>
      <c r="R4" s="104"/>
      <c r="S4" s="104"/>
      <c r="T4" s="108"/>
      <c r="U4" s="109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5.75" customHeight="1">
      <c r="A5" s="3"/>
      <c r="B5" s="3"/>
      <c r="C5" s="3"/>
      <c r="D5" s="110" t="s">
        <v>3</v>
      </c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</row>
    <row r="6" spans="1:33" ht="9.75" customHeight="1" thickBot="1">
      <c r="A6" s="4"/>
      <c r="B6" s="4"/>
      <c r="C6" s="4"/>
      <c r="D6" s="111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</row>
    <row r="7" spans="1:33" ht="16.5" customHeight="1" thickBot="1">
      <c r="A7" s="113" t="s">
        <v>4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</row>
    <row r="8" spans="1:33" ht="11.25" customHeight="1">
      <c r="A8" s="5"/>
      <c r="B8" s="6"/>
      <c r="C8" s="6"/>
      <c r="D8" s="7"/>
      <c r="E8" s="7"/>
      <c r="F8" s="7"/>
      <c r="G8" s="8"/>
      <c r="H8" s="114" t="s">
        <v>5</v>
      </c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6"/>
    </row>
    <row r="9" spans="1:33" ht="12" customHeight="1">
      <c r="A9" s="9"/>
      <c r="B9" s="49"/>
      <c r="C9" s="10" t="s">
        <v>45</v>
      </c>
      <c r="D9" s="10"/>
      <c r="E9" s="10"/>
      <c r="F9" s="10"/>
      <c r="G9" s="11"/>
      <c r="H9" s="85" t="s">
        <v>6</v>
      </c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7"/>
    </row>
    <row r="10" spans="1:33" ht="12" customHeight="1">
      <c r="A10" s="9"/>
      <c r="B10" s="49"/>
      <c r="C10" s="10" t="s">
        <v>133</v>
      </c>
      <c r="D10" s="12"/>
      <c r="E10" s="13"/>
      <c r="F10" s="13"/>
      <c r="G10" s="14"/>
      <c r="H10" s="85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7"/>
    </row>
    <row r="11" spans="1:33" ht="10.8" thickBot="1">
      <c r="A11" s="15"/>
      <c r="B11" s="19"/>
      <c r="C11" s="16"/>
      <c r="D11" s="17"/>
      <c r="E11" s="16"/>
      <c r="F11" s="16"/>
      <c r="G11" s="18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20"/>
    </row>
    <row r="12" spans="1:33" ht="34.5" customHeight="1" thickBot="1">
      <c r="A12" s="159" t="s">
        <v>7</v>
      </c>
      <c r="B12" s="117" t="s">
        <v>61</v>
      </c>
      <c r="C12" s="117" t="s">
        <v>77</v>
      </c>
      <c r="D12" s="117" t="s">
        <v>8</v>
      </c>
      <c r="E12" s="117" t="s">
        <v>9</v>
      </c>
      <c r="F12" s="119" t="s">
        <v>10</v>
      </c>
      <c r="G12" s="120"/>
      <c r="H12" s="121"/>
      <c r="I12" s="125" t="s">
        <v>11</v>
      </c>
      <c r="J12" s="126"/>
      <c r="K12" s="126"/>
      <c r="L12" s="126"/>
      <c r="M12" s="126"/>
      <c r="N12" s="127"/>
      <c r="O12" s="21" t="s">
        <v>12</v>
      </c>
      <c r="P12" s="128" t="s">
        <v>13</v>
      </c>
      <c r="Q12" s="129"/>
      <c r="R12" s="130" t="s">
        <v>57</v>
      </c>
      <c r="S12" s="100" t="s">
        <v>14</v>
      </c>
      <c r="T12" s="117" t="s">
        <v>15</v>
      </c>
      <c r="U12" s="21"/>
    </row>
    <row r="13" spans="1:33" ht="23.25" customHeight="1" thickBot="1">
      <c r="A13" s="160"/>
      <c r="B13" s="118"/>
      <c r="C13" s="118"/>
      <c r="D13" s="118"/>
      <c r="E13" s="118"/>
      <c r="F13" s="122"/>
      <c r="G13" s="123"/>
      <c r="H13" s="124"/>
      <c r="I13" s="23" t="s">
        <v>16</v>
      </c>
      <c r="J13" s="24" t="s">
        <v>17</v>
      </c>
      <c r="K13" s="24" t="s">
        <v>18</v>
      </c>
      <c r="L13" s="24" t="s">
        <v>19</v>
      </c>
      <c r="M13" s="24" t="s">
        <v>20</v>
      </c>
      <c r="N13" s="25" t="s">
        <v>21</v>
      </c>
      <c r="O13" s="22" t="s">
        <v>22</v>
      </c>
      <c r="P13" s="26" t="s">
        <v>23</v>
      </c>
      <c r="Q13" s="27" t="s">
        <v>24</v>
      </c>
      <c r="R13" s="131"/>
      <c r="S13" s="132"/>
      <c r="T13" s="118"/>
      <c r="U13" s="22"/>
      <c r="Z13" s="1" t="s">
        <v>25</v>
      </c>
    </row>
    <row r="14" spans="1:33" ht="22.5" customHeight="1">
      <c r="A14" s="160"/>
      <c r="B14" s="118"/>
      <c r="C14" s="118"/>
      <c r="D14" s="118"/>
      <c r="E14" s="118"/>
      <c r="F14" s="133" t="s">
        <v>26</v>
      </c>
      <c r="G14" s="135" t="s">
        <v>27</v>
      </c>
      <c r="H14" s="137" t="s">
        <v>85</v>
      </c>
      <c r="I14" s="139" t="s">
        <v>28</v>
      </c>
      <c r="J14" s="140"/>
      <c r="K14" s="140"/>
      <c r="L14" s="140"/>
      <c r="M14" s="141"/>
      <c r="N14" s="28" t="s">
        <v>28</v>
      </c>
      <c r="O14" s="29" t="s">
        <v>29</v>
      </c>
      <c r="P14" s="142" t="s">
        <v>30</v>
      </c>
      <c r="Q14" s="143"/>
      <c r="R14" s="131"/>
      <c r="S14" s="132"/>
      <c r="T14" s="118"/>
      <c r="U14" s="22" t="s">
        <v>31</v>
      </c>
    </row>
    <row r="15" spans="1:33" ht="22.5" customHeight="1">
      <c r="A15" s="160"/>
      <c r="B15" s="118"/>
      <c r="C15" s="118"/>
      <c r="D15" s="118"/>
      <c r="E15" s="118"/>
      <c r="F15" s="134"/>
      <c r="G15" s="136"/>
      <c r="H15" s="138"/>
      <c r="I15" s="144" t="s">
        <v>32</v>
      </c>
      <c r="J15" s="145"/>
      <c r="K15" s="145"/>
      <c r="L15" s="145"/>
      <c r="M15" s="145"/>
      <c r="N15" s="145"/>
      <c r="O15" s="145"/>
      <c r="P15" s="145"/>
      <c r="Q15" s="146"/>
      <c r="R15" s="131"/>
      <c r="S15" s="132"/>
      <c r="T15" s="118"/>
      <c r="U15" s="22"/>
    </row>
    <row r="16" spans="1:33" ht="36" customHeight="1" thickBot="1">
      <c r="A16" s="160"/>
      <c r="B16" s="118"/>
      <c r="C16" s="118"/>
      <c r="D16" s="118"/>
      <c r="E16" s="118"/>
      <c r="F16" s="134"/>
      <c r="G16" s="136"/>
      <c r="H16" s="138"/>
      <c r="I16" s="30" t="s">
        <v>50</v>
      </c>
      <c r="J16" s="31" t="s">
        <v>51</v>
      </c>
      <c r="K16" s="32" t="s">
        <v>52</v>
      </c>
      <c r="L16" s="32" t="s">
        <v>53</v>
      </c>
      <c r="M16" s="32" t="s">
        <v>54</v>
      </c>
      <c r="N16" s="33" t="s">
        <v>34</v>
      </c>
      <c r="O16" s="34" t="s">
        <v>55</v>
      </c>
      <c r="P16" s="35" t="s">
        <v>36</v>
      </c>
      <c r="Q16" s="32" t="s">
        <v>56</v>
      </c>
      <c r="R16" s="36" t="s">
        <v>58</v>
      </c>
      <c r="S16" s="132"/>
      <c r="T16" s="118"/>
      <c r="U16" s="22"/>
    </row>
    <row r="17" spans="1:21" ht="20.100000000000001" customHeight="1">
      <c r="A17" s="155">
        <v>1</v>
      </c>
      <c r="B17" s="157" t="s">
        <v>59</v>
      </c>
      <c r="C17" s="153" t="s">
        <v>46</v>
      </c>
      <c r="D17" s="147">
        <v>45835</v>
      </c>
      <c r="E17" s="37" t="s">
        <v>48</v>
      </c>
      <c r="F17" s="147">
        <v>45834</v>
      </c>
      <c r="G17" s="149">
        <v>24</v>
      </c>
      <c r="H17" s="151">
        <v>2517600058</v>
      </c>
      <c r="I17" s="38">
        <v>0.28000000000000003</v>
      </c>
      <c r="J17" s="39" t="s">
        <v>62</v>
      </c>
      <c r="K17" s="39" t="s">
        <v>62</v>
      </c>
      <c r="L17" s="40" t="s">
        <v>62</v>
      </c>
      <c r="M17" s="39">
        <v>7</v>
      </c>
      <c r="N17" s="40">
        <v>17</v>
      </c>
      <c r="O17" s="41" t="s">
        <v>62</v>
      </c>
      <c r="P17" s="42" t="s">
        <v>62</v>
      </c>
      <c r="Q17" s="42" t="s">
        <v>62</v>
      </c>
      <c r="R17" s="42">
        <f>N17/M17</f>
        <v>2.4285714285714284</v>
      </c>
      <c r="S17" s="43" t="s">
        <v>38</v>
      </c>
      <c r="T17" s="37"/>
      <c r="U17" s="47" t="s">
        <v>63</v>
      </c>
    </row>
    <row r="18" spans="1:21" ht="20.100000000000001" customHeight="1" thickBot="1">
      <c r="A18" s="156"/>
      <c r="B18" s="158"/>
      <c r="C18" s="154"/>
      <c r="D18" s="148"/>
      <c r="E18" s="44" t="s">
        <v>49</v>
      </c>
      <c r="F18" s="148"/>
      <c r="G18" s="150"/>
      <c r="H18" s="152"/>
      <c r="I18" s="44">
        <v>1</v>
      </c>
      <c r="J18" s="51">
        <v>1.21</v>
      </c>
      <c r="K18" s="50">
        <v>3.73</v>
      </c>
      <c r="L18" s="50">
        <v>2.5499999999999998</v>
      </c>
      <c r="M18" s="50">
        <v>6.3</v>
      </c>
      <c r="N18" s="52">
        <v>16.399999999999999</v>
      </c>
      <c r="O18" s="53" t="s">
        <v>62</v>
      </c>
      <c r="P18" s="51">
        <v>42</v>
      </c>
      <c r="Q18" s="51">
        <v>167</v>
      </c>
      <c r="R18" s="51">
        <f t="shared" ref="R18:R20" si="0">N18/M18</f>
        <v>2.6031746031746028</v>
      </c>
      <c r="S18" s="54" t="s">
        <v>38</v>
      </c>
      <c r="T18" s="45"/>
      <c r="U18" s="48" t="s">
        <v>63</v>
      </c>
    </row>
    <row r="19" spans="1:21" ht="20.100000000000001" customHeight="1">
      <c r="A19" s="155">
        <v>2</v>
      </c>
      <c r="B19" s="157" t="s">
        <v>60</v>
      </c>
      <c r="C19" s="153" t="s">
        <v>47</v>
      </c>
      <c r="D19" s="147">
        <v>45835</v>
      </c>
      <c r="E19" s="37" t="s">
        <v>64</v>
      </c>
      <c r="F19" s="147">
        <v>45834</v>
      </c>
      <c r="G19" s="149">
        <v>35</v>
      </c>
      <c r="H19" s="151">
        <v>2517600054</v>
      </c>
      <c r="I19" s="38">
        <v>0.3</v>
      </c>
      <c r="J19" s="39">
        <v>1.33</v>
      </c>
      <c r="K19" s="39">
        <v>6.01</v>
      </c>
      <c r="L19" s="40">
        <v>6.01</v>
      </c>
      <c r="M19" s="39">
        <v>15.1</v>
      </c>
      <c r="N19" s="40">
        <v>37.700000000000003</v>
      </c>
      <c r="O19" s="41">
        <v>10000</v>
      </c>
      <c r="P19" s="42">
        <v>27</v>
      </c>
      <c r="Q19" s="42">
        <v>182</v>
      </c>
      <c r="R19" s="42">
        <f t="shared" si="0"/>
        <v>2.4966887417218544</v>
      </c>
      <c r="S19" s="43" t="s">
        <v>38</v>
      </c>
      <c r="T19" s="37"/>
      <c r="U19" s="47" t="s">
        <v>63</v>
      </c>
    </row>
    <row r="20" spans="1:21" ht="20.100000000000001" customHeight="1" thickBot="1">
      <c r="A20" s="156"/>
      <c r="B20" s="158"/>
      <c r="C20" s="154"/>
      <c r="D20" s="148"/>
      <c r="E20" s="44" t="s">
        <v>65</v>
      </c>
      <c r="F20" s="148"/>
      <c r="G20" s="150"/>
      <c r="H20" s="152"/>
      <c r="I20" s="44">
        <v>0.72</v>
      </c>
      <c r="J20" s="51" t="s">
        <v>62</v>
      </c>
      <c r="K20" s="50" t="s">
        <v>62</v>
      </c>
      <c r="L20" s="50" t="s">
        <v>62</v>
      </c>
      <c r="M20" s="50">
        <v>16.7</v>
      </c>
      <c r="N20" s="52">
        <v>23</v>
      </c>
      <c r="O20" s="53" t="s">
        <v>62</v>
      </c>
      <c r="P20" s="51" t="s">
        <v>62</v>
      </c>
      <c r="Q20" s="51" t="s">
        <v>62</v>
      </c>
      <c r="R20" s="51">
        <f t="shared" si="0"/>
        <v>1.3772455089820359</v>
      </c>
      <c r="S20" s="54" t="s">
        <v>38</v>
      </c>
      <c r="T20" s="45"/>
      <c r="U20" s="48" t="s">
        <v>63</v>
      </c>
    </row>
    <row r="21" spans="1:21" ht="20.100000000000001" customHeight="1"/>
    <row r="22" spans="1:21" ht="20.100000000000001" customHeight="1"/>
    <row r="23" spans="1:21" ht="20.100000000000001" customHeight="1"/>
    <row r="24" spans="1:21" ht="20.100000000000001" customHeight="1"/>
    <row r="25" spans="1:21" ht="20.100000000000001" customHeight="1">
      <c r="H25"/>
    </row>
    <row r="26" spans="1:21" ht="20.100000000000001" customHeight="1"/>
    <row r="27" spans="1:21" ht="20.100000000000001" customHeight="1"/>
    <row r="28" spans="1:21" ht="20.100000000000001" customHeight="1"/>
    <row r="29" spans="1:21" ht="20.100000000000001" customHeight="1"/>
    <row r="30" spans="1:21" ht="20.100000000000001" customHeight="1"/>
    <row r="31" spans="1:21" ht="20.100000000000001" customHeight="1"/>
    <row r="32" spans="1:21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spans="33:33" ht="20.100000000000001" customHeight="1"/>
    <row r="338" spans="33:33" ht="20.100000000000001" customHeight="1"/>
    <row r="339" spans="33:33" ht="20.100000000000001" customHeight="1"/>
    <row r="340" spans="33:33" ht="20.100000000000001" customHeight="1"/>
    <row r="341" spans="33:33" ht="20.100000000000001" customHeight="1"/>
    <row r="342" spans="33:33" ht="20.100000000000001" customHeight="1"/>
    <row r="343" spans="33:33" ht="20.100000000000001" customHeight="1">
      <c r="AG343" s="1" t="s">
        <v>39</v>
      </c>
    </row>
  </sheetData>
  <autoFilter ref="A12:U18" xr:uid="{2023D5D9-0A37-4427-912B-90F76B223594}"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2" showButton="0"/>
    <filterColumn colId="15" showButton="0"/>
  </autoFilter>
  <mergeCells count="45">
    <mergeCell ref="A17:A18"/>
    <mergeCell ref="A19:A20"/>
    <mergeCell ref="B17:B18"/>
    <mergeCell ref="B19:B20"/>
    <mergeCell ref="C12:C16"/>
    <mergeCell ref="B12:B16"/>
    <mergeCell ref="C19:C20"/>
    <mergeCell ref="A12:A16"/>
    <mergeCell ref="D19:D20"/>
    <mergeCell ref="F19:F20"/>
    <mergeCell ref="G19:G20"/>
    <mergeCell ref="H19:H20"/>
    <mergeCell ref="C17:C18"/>
    <mergeCell ref="D17:D18"/>
    <mergeCell ref="F17:F18"/>
    <mergeCell ref="G17:G18"/>
    <mergeCell ref="H17:H18"/>
    <mergeCell ref="R12:R15"/>
    <mergeCell ref="S12:S16"/>
    <mergeCell ref="T12:T16"/>
    <mergeCell ref="F14:F16"/>
    <mergeCell ref="G14:G16"/>
    <mergeCell ref="H14:H16"/>
    <mergeCell ref="I14:M14"/>
    <mergeCell ref="P14:Q14"/>
    <mergeCell ref="I15:Q15"/>
    <mergeCell ref="D12:D16"/>
    <mergeCell ref="E12:E16"/>
    <mergeCell ref="F12:H13"/>
    <mergeCell ref="I12:N12"/>
    <mergeCell ref="P12:Q12"/>
    <mergeCell ref="H10:U10"/>
    <mergeCell ref="A1:D2"/>
    <mergeCell ref="E1:V2"/>
    <mergeCell ref="A3:C4"/>
    <mergeCell ref="D3:E4"/>
    <mergeCell ref="F3:H4"/>
    <mergeCell ref="I3:L4"/>
    <mergeCell ref="M3:S4"/>
    <mergeCell ref="T3:U4"/>
    <mergeCell ref="D5:U5"/>
    <mergeCell ref="D6:U6"/>
    <mergeCell ref="A7:U7"/>
    <mergeCell ref="H8:U8"/>
    <mergeCell ref="H9:U9"/>
  </mergeCells>
  <conditionalFormatting sqref="I17:I20">
    <cfRule type="cellIs" dxfId="308" priority="9" operator="lessThan">
      <formula>0.3</formula>
    </cfRule>
    <cfRule type="cellIs" dxfId="307" priority="10" operator="greaterThan">
      <formula>0.8</formula>
    </cfRule>
  </conditionalFormatting>
  <conditionalFormatting sqref="J1:J16 J21:J1048576">
    <cfRule type="cellIs" dxfId="306" priority="1059" operator="between">
      <formula>0</formula>
      <formula>1.5</formula>
    </cfRule>
  </conditionalFormatting>
  <conditionalFormatting sqref="K1:L16 K21:L1048576">
    <cfRule type="cellIs" dxfId="305" priority="1084" operator="between">
      <formula>0</formula>
      <formula>7.5</formula>
    </cfRule>
  </conditionalFormatting>
  <conditionalFormatting sqref="K17:L20">
    <cfRule type="cellIs" dxfId="304" priority="7" operator="lessThan">
      <formula>5</formula>
    </cfRule>
  </conditionalFormatting>
  <conditionalFormatting sqref="L17:L20">
    <cfRule type="cellIs" dxfId="303" priority="17" operator="lessThan">
      <formula>5</formula>
    </cfRule>
  </conditionalFormatting>
  <conditionalFormatting sqref="M1:M16 M21:M1048576">
    <cfRule type="cellIs" dxfId="302" priority="1056" operator="between">
      <formula>0</formula>
      <formula>16.5</formula>
    </cfRule>
  </conditionalFormatting>
  <conditionalFormatting sqref="M17:M20">
    <cfRule type="cellIs" dxfId="301" priority="6" operator="lessThan">
      <formula>15</formula>
    </cfRule>
    <cfRule type="cellIs" dxfId="300" priority="16" operator="lessThan">
      <formula>15</formula>
    </cfRule>
  </conditionalFormatting>
  <conditionalFormatting sqref="N1:N16 N21:N1048576">
    <cfRule type="cellIs" dxfId="299" priority="1055" operator="between">
      <formula>0</formula>
      <formula>25</formula>
    </cfRule>
  </conditionalFormatting>
  <conditionalFormatting sqref="N17:N20">
    <cfRule type="cellIs" dxfId="298" priority="5" operator="lessThan">
      <formula>25</formula>
    </cfRule>
    <cfRule type="cellIs" dxfId="297" priority="15" operator="lessThan">
      <formula>25</formula>
    </cfRule>
  </conditionalFormatting>
  <conditionalFormatting sqref="O1:O16 O21:O1048576">
    <cfRule type="cellIs" priority="1054" operator="between">
      <formula>0</formula>
      <formula>8000</formula>
    </cfRule>
  </conditionalFormatting>
  <conditionalFormatting sqref="O17:O20">
    <cfRule type="cellIs" dxfId="296" priority="4" operator="lessThan">
      <formula>10000</formula>
    </cfRule>
    <cfRule type="cellIs" dxfId="295" priority="14" operator="lessThan">
      <formula>10000</formula>
    </cfRule>
  </conditionalFormatting>
  <conditionalFormatting sqref="P1:P16 P21:P1048576">
    <cfRule type="cellIs" dxfId="294" priority="1053" operator="between">
      <formula>0</formula>
      <formula>19</formula>
    </cfRule>
  </conditionalFormatting>
  <conditionalFormatting sqref="P17:P20">
    <cfRule type="cellIs" dxfId="293" priority="3" operator="lessThan">
      <formula>20</formula>
    </cfRule>
    <cfRule type="cellIs" dxfId="292" priority="13" operator="lessThan">
      <formula>20</formula>
    </cfRule>
  </conditionalFormatting>
  <conditionalFormatting sqref="Q1:Q1048576">
    <cfRule type="cellIs" dxfId="291" priority="1052" operator="between">
      <formula>0</formula>
      <formula>99</formula>
    </cfRule>
  </conditionalFormatting>
  <conditionalFormatting sqref="Q17:Q20">
    <cfRule type="cellIs" dxfId="290" priority="2" operator="lessThan">
      <formula>120</formula>
    </cfRule>
    <cfRule type="cellIs" dxfId="289" priority="12" operator="lessThan">
      <formula>120</formula>
    </cfRule>
    <cfRule type="cellIs" dxfId="288" priority="1067" operator="lessThan">
      <formula>100</formula>
    </cfRule>
  </conditionalFormatting>
  <conditionalFormatting sqref="R17:R20">
    <cfRule type="cellIs" dxfId="287" priority="1" operator="lessThan">
      <formula>1.7</formula>
    </cfRule>
    <cfRule type="cellIs" dxfId="286" priority="11" operator="lessThan">
      <formula>1.7</formula>
    </cfRule>
  </conditionalFormatting>
  <conditionalFormatting sqref="S1:S1048576">
    <cfRule type="cellIs" dxfId="285" priority="1050" operator="between">
      <formula>"FAIL"</formula>
      <formula>"FAIL"</formula>
    </cfRule>
    <cfRule type="cellIs" dxfId="284" priority="1051" operator="between">
      <formula>"PASS"</formula>
      <formula>"PASS"</formula>
    </cfRule>
  </conditionalFormatting>
  <printOptions horizontalCentered="1"/>
  <pageMargins left="0.19685039370078741" right="0.19685039370078741" top="0.19685039370078741" bottom="0.19685039370078741" header="0.11811023622047245" footer="0.15748031496062992"/>
  <pageSetup scale="31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9581F-7CB6-4D0E-AC65-407259CC3402}">
  <dimension ref="A1:AH343"/>
  <sheetViews>
    <sheetView view="pageBreakPreview" zoomScale="80" zoomScaleNormal="100" zoomScaleSheetLayoutView="80" workbookViewId="0">
      <pane ySplit="16" topLeftCell="A17" activePane="bottomLeft" state="frozen"/>
      <selection pane="bottomLeft" activeCell="U17" sqref="U17"/>
    </sheetView>
  </sheetViews>
  <sheetFormatPr baseColWidth="10" defaultColWidth="9.33203125" defaultRowHeight="10.199999999999999"/>
  <cols>
    <col min="1" max="1" width="5.33203125" style="1" customWidth="1"/>
    <col min="2" max="2" width="16.6640625" style="1" customWidth="1"/>
    <col min="3" max="3" width="17.6640625" style="1" customWidth="1"/>
    <col min="4" max="4" width="14.6640625" style="1" customWidth="1"/>
    <col min="5" max="5" width="11" style="1" customWidth="1"/>
    <col min="6" max="6" width="11.33203125" style="1" customWidth="1"/>
    <col min="7" max="7" width="6.6640625" style="1" customWidth="1"/>
    <col min="8" max="8" width="11.33203125" style="1" customWidth="1"/>
    <col min="9" max="9" width="8.44140625" style="1" customWidth="1"/>
    <col min="10" max="10" width="5.33203125" style="1" customWidth="1"/>
    <col min="11" max="11" width="6.109375" style="1" customWidth="1"/>
    <col min="12" max="12" width="11.6640625" style="1" customWidth="1"/>
    <col min="13" max="13" width="9" style="1" customWidth="1"/>
    <col min="14" max="14" width="5.33203125" style="1" customWidth="1"/>
    <col min="15" max="15" width="10.88671875" style="1" customWidth="1"/>
    <col min="16" max="18" width="6.109375" style="1" customWidth="1"/>
    <col min="19" max="19" width="8" style="1" customWidth="1"/>
    <col min="20" max="20" width="9.88671875" style="1" customWidth="1"/>
    <col min="21" max="21" width="14.88671875" style="46" customWidth="1"/>
    <col min="22" max="22" width="33" style="46" customWidth="1"/>
    <col min="23" max="16384" width="9.33203125" style="1"/>
  </cols>
  <sheetData>
    <row r="1" spans="1:34" ht="21" customHeight="1">
      <c r="A1" s="88" t="s">
        <v>40</v>
      </c>
      <c r="B1" s="89"/>
      <c r="C1" s="89"/>
      <c r="D1" s="90"/>
      <c r="E1" s="94" t="s">
        <v>0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6"/>
    </row>
    <row r="2" spans="1:34" ht="29.25" customHeight="1" thickBot="1">
      <c r="A2" s="91"/>
      <c r="B2" s="92"/>
      <c r="C2" s="92"/>
      <c r="D2" s="93"/>
      <c r="E2" s="97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9"/>
    </row>
    <row r="3" spans="1:34" ht="22.5" customHeight="1">
      <c r="A3" s="100" t="s">
        <v>41</v>
      </c>
      <c r="B3" s="101"/>
      <c r="C3" s="102"/>
      <c r="D3" s="100" t="s">
        <v>42</v>
      </c>
      <c r="E3" s="102"/>
      <c r="F3" s="100" t="s">
        <v>43</v>
      </c>
      <c r="G3" s="101"/>
      <c r="H3" s="102"/>
      <c r="I3" s="100" t="s">
        <v>44</v>
      </c>
      <c r="J3" s="101"/>
      <c r="K3" s="101"/>
      <c r="L3" s="102"/>
      <c r="M3" s="100" t="s">
        <v>1</v>
      </c>
      <c r="N3" s="101"/>
      <c r="O3" s="101"/>
      <c r="P3" s="101"/>
      <c r="Q3" s="101"/>
      <c r="R3" s="101"/>
      <c r="S3" s="101"/>
      <c r="T3" s="101"/>
      <c r="U3" s="106" t="s">
        <v>2</v>
      </c>
      <c r="V3" s="107"/>
    </row>
    <row r="4" spans="1:34" ht="23.25" customHeight="1" thickBot="1">
      <c r="A4" s="103"/>
      <c r="B4" s="104"/>
      <c r="C4" s="105"/>
      <c r="D4" s="103"/>
      <c r="E4" s="105"/>
      <c r="F4" s="103"/>
      <c r="G4" s="104"/>
      <c r="H4" s="105"/>
      <c r="I4" s="103"/>
      <c r="J4" s="104"/>
      <c r="K4" s="104"/>
      <c r="L4" s="105"/>
      <c r="M4" s="103"/>
      <c r="N4" s="104"/>
      <c r="O4" s="104"/>
      <c r="P4" s="104"/>
      <c r="Q4" s="104"/>
      <c r="R4" s="104"/>
      <c r="S4" s="104"/>
      <c r="T4" s="104"/>
      <c r="U4" s="108"/>
      <c r="V4" s="109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15.75" customHeight="1">
      <c r="A5" s="3"/>
      <c r="B5" s="3"/>
      <c r="C5" s="3"/>
      <c r="D5" s="110" t="s">
        <v>3</v>
      </c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</row>
    <row r="6" spans="1:34" ht="9.75" customHeight="1" thickBot="1">
      <c r="A6" s="4"/>
      <c r="B6" s="4"/>
      <c r="C6" s="4"/>
      <c r="D6" s="111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</row>
    <row r="7" spans="1:34" ht="16.5" customHeight="1" thickBot="1">
      <c r="A7" s="113" t="s">
        <v>4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</row>
    <row r="8" spans="1:34" ht="11.25" customHeight="1">
      <c r="A8" s="5"/>
      <c r="B8" s="6"/>
      <c r="C8" s="6"/>
      <c r="D8" s="7"/>
      <c r="E8" s="7"/>
      <c r="F8" s="7"/>
      <c r="G8" s="8"/>
      <c r="H8" s="114" t="s">
        <v>5</v>
      </c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6"/>
    </row>
    <row r="9" spans="1:34" ht="12" customHeight="1">
      <c r="A9" s="9"/>
      <c r="B9" s="49"/>
      <c r="C9" s="10" t="s">
        <v>81</v>
      </c>
      <c r="D9" s="10"/>
      <c r="E9" s="10"/>
      <c r="F9" s="10"/>
      <c r="G9" s="11"/>
      <c r="H9" s="85" t="s">
        <v>6</v>
      </c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7"/>
    </row>
    <row r="10" spans="1:34" ht="12" customHeight="1">
      <c r="A10" s="9"/>
      <c r="B10" s="49"/>
      <c r="C10" s="10" t="s">
        <v>134</v>
      </c>
      <c r="D10" s="12"/>
      <c r="E10" s="13"/>
      <c r="F10" s="13"/>
      <c r="G10" s="14"/>
      <c r="H10" s="85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7"/>
    </row>
    <row r="11" spans="1:34" ht="10.8" thickBot="1">
      <c r="A11" s="15"/>
      <c r="B11" s="19"/>
      <c r="C11" s="16"/>
      <c r="D11" s="17"/>
      <c r="E11" s="16"/>
      <c r="F11" s="16"/>
      <c r="G11" s="18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20"/>
    </row>
    <row r="12" spans="1:34" ht="34.5" customHeight="1" thickBot="1">
      <c r="A12" s="159" t="s">
        <v>7</v>
      </c>
      <c r="B12" s="117" t="s">
        <v>61</v>
      </c>
      <c r="C12" s="117" t="s">
        <v>77</v>
      </c>
      <c r="D12" s="117" t="s">
        <v>8</v>
      </c>
      <c r="E12" s="117" t="s">
        <v>9</v>
      </c>
      <c r="F12" s="119" t="s">
        <v>10</v>
      </c>
      <c r="G12" s="120"/>
      <c r="H12" s="121"/>
      <c r="I12" s="125" t="s">
        <v>11</v>
      </c>
      <c r="J12" s="126"/>
      <c r="K12" s="126"/>
      <c r="L12" s="126"/>
      <c r="M12" s="126"/>
      <c r="N12" s="127"/>
      <c r="O12" s="117" t="s">
        <v>136</v>
      </c>
      <c r="P12" s="128" t="s">
        <v>13</v>
      </c>
      <c r="Q12" s="129"/>
      <c r="R12" s="161" t="s">
        <v>137</v>
      </c>
      <c r="S12" s="162"/>
      <c r="T12" s="100" t="s">
        <v>14</v>
      </c>
      <c r="U12" s="117" t="s">
        <v>15</v>
      </c>
      <c r="V12" s="21"/>
    </row>
    <row r="13" spans="1:34" ht="23.25" customHeight="1" thickBot="1">
      <c r="A13" s="160"/>
      <c r="B13" s="118"/>
      <c r="C13" s="118"/>
      <c r="D13" s="118"/>
      <c r="E13" s="118"/>
      <c r="F13" s="122"/>
      <c r="G13" s="123"/>
      <c r="H13" s="124"/>
      <c r="I13" s="23" t="s">
        <v>16</v>
      </c>
      <c r="J13" s="24" t="s">
        <v>17</v>
      </c>
      <c r="K13" s="24" t="s">
        <v>18</v>
      </c>
      <c r="L13" s="24" t="s">
        <v>19</v>
      </c>
      <c r="M13" s="24" t="s">
        <v>20</v>
      </c>
      <c r="N13" s="25" t="s">
        <v>21</v>
      </c>
      <c r="O13" s="164"/>
      <c r="P13" s="26" t="s">
        <v>23</v>
      </c>
      <c r="Q13" s="27" t="s">
        <v>24</v>
      </c>
      <c r="R13" s="71" t="s">
        <v>135</v>
      </c>
      <c r="S13" s="72" t="s">
        <v>19</v>
      </c>
      <c r="T13" s="132"/>
      <c r="U13" s="118"/>
      <c r="V13" s="22"/>
      <c r="AA13" s="1" t="s">
        <v>25</v>
      </c>
    </row>
    <row r="14" spans="1:34" ht="22.5" customHeight="1">
      <c r="A14" s="160"/>
      <c r="B14" s="118"/>
      <c r="C14" s="118"/>
      <c r="D14" s="118"/>
      <c r="E14" s="118"/>
      <c r="F14" s="133" t="s">
        <v>26</v>
      </c>
      <c r="G14" s="135" t="s">
        <v>27</v>
      </c>
      <c r="H14" s="137" t="s">
        <v>85</v>
      </c>
      <c r="I14" s="139" t="s">
        <v>28</v>
      </c>
      <c r="J14" s="140"/>
      <c r="K14" s="140"/>
      <c r="L14" s="140"/>
      <c r="M14" s="140"/>
      <c r="N14" s="163"/>
      <c r="O14" s="22" t="s">
        <v>22</v>
      </c>
      <c r="P14" s="142" t="s">
        <v>30</v>
      </c>
      <c r="Q14" s="143"/>
      <c r="R14" s="69"/>
      <c r="S14" s="70"/>
      <c r="T14" s="132"/>
      <c r="U14" s="118"/>
      <c r="V14" s="22" t="s">
        <v>31</v>
      </c>
    </row>
    <row r="15" spans="1:34" ht="22.5" customHeight="1">
      <c r="A15" s="160"/>
      <c r="B15" s="118"/>
      <c r="C15" s="118"/>
      <c r="D15" s="118"/>
      <c r="E15" s="118"/>
      <c r="F15" s="134"/>
      <c r="G15" s="136"/>
      <c r="H15" s="138"/>
      <c r="I15" s="144" t="s">
        <v>32</v>
      </c>
      <c r="J15" s="145"/>
      <c r="K15" s="145"/>
      <c r="L15" s="145"/>
      <c r="M15" s="145"/>
      <c r="N15" s="145"/>
      <c r="O15" s="145"/>
      <c r="P15" s="145"/>
      <c r="Q15" s="146"/>
      <c r="R15" s="68"/>
      <c r="S15" s="68"/>
      <c r="T15" s="132"/>
      <c r="U15" s="118"/>
      <c r="V15" s="22"/>
    </row>
    <row r="16" spans="1:34" ht="36" customHeight="1" thickBot="1">
      <c r="A16" s="160"/>
      <c r="B16" s="118"/>
      <c r="C16" s="118"/>
      <c r="D16" s="118"/>
      <c r="E16" s="118"/>
      <c r="F16" s="134"/>
      <c r="G16" s="136"/>
      <c r="H16" s="138"/>
      <c r="I16" s="30" t="s">
        <v>66</v>
      </c>
      <c r="J16" s="31" t="s">
        <v>51</v>
      </c>
      <c r="K16" s="32" t="s">
        <v>67</v>
      </c>
      <c r="L16" s="73" t="s">
        <v>140</v>
      </c>
      <c r="M16" s="32" t="s">
        <v>34</v>
      </c>
      <c r="N16" s="33" t="s">
        <v>34</v>
      </c>
      <c r="O16" s="34" t="s">
        <v>68</v>
      </c>
      <c r="P16" s="35" t="s">
        <v>36</v>
      </c>
      <c r="Q16" s="32" t="s">
        <v>37</v>
      </c>
      <c r="R16" s="32" t="s">
        <v>138</v>
      </c>
      <c r="S16" s="32" t="s">
        <v>139</v>
      </c>
      <c r="T16" s="132"/>
      <c r="U16" s="118"/>
      <c r="V16" s="22"/>
    </row>
    <row r="17" spans="1:22" ht="28.2" customHeight="1">
      <c r="A17" s="155">
        <v>1</v>
      </c>
      <c r="B17" s="157" t="s">
        <v>69</v>
      </c>
      <c r="C17" s="153" t="s">
        <v>178</v>
      </c>
      <c r="D17" s="147">
        <v>45852</v>
      </c>
      <c r="E17" s="38" t="s">
        <v>71</v>
      </c>
      <c r="F17" s="147">
        <v>45852</v>
      </c>
      <c r="G17" s="149">
        <v>5</v>
      </c>
      <c r="H17" s="151">
        <v>2519500001</v>
      </c>
      <c r="I17" s="38">
        <v>0.13</v>
      </c>
      <c r="J17" s="56">
        <v>2.57</v>
      </c>
      <c r="K17" s="56">
        <v>7.6</v>
      </c>
      <c r="L17" s="57">
        <v>12.1</v>
      </c>
      <c r="M17" s="56">
        <v>22.4</v>
      </c>
      <c r="N17" s="57">
        <v>24.3</v>
      </c>
      <c r="O17" s="58">
        <v>28700</v>
      </c>
      <c r="P17" s="66">
        <v>11</v>
      </c>
      <c r="Q17" s="66">
        <v>140</v>
      </c>
      <c r="R17" s="66">
        <v>0.09</v>
      </c>
      <c r="S17" s="66">
        <v>0.3</v>
      </c>
      <c r="T17" s="43" t="s">
        <v>38</v>
      </c>
      <c r="U17" s="38"/>
      <c r="V17" s="59" t="s">
        <v>75</v>
      </c>
    </row>
    <row r="18" spans="1:22" ht="28.2" customHeight="1" thickBot="1">
      <c r="A18" s="156"/>
      <c r="B18" s="158"/>
      <c r="C18" s="154"/>
      <c r="D18" s="148"/>
      <c r="E18" s="44" t="s">
        <v>72</v>
      </c>
      <c r="F18" s="148"/>
      <c r="G18" s="150"/>
      <c r="H18" s="152"/>
      <c r="I18" s="44">
        <v>0.11</v>
      </c>
      <c r="J18" s="67" t="s">
        <v>62</v>
      </c>
      <c r="K18" s="60" t="s">
        <v>62</v>
      </c>
      <c r="L18" s="61" t="s">
        <v>62</v>
      </c>
      <c r="M18" s="60">
        <v>23.3</v>
      </c>
      <c r="N18" s="61">
        <v>29.9</v>
      </c>
      <c r="O18" s="62" t="s">
        <v>62</v>
      </c>
      <c r="P18" s="67" t="s">
        <v>62</v>
      </c>
      <c r="Q18" s="67" t="s">
        <v>62</v>
      </c>
      <c r="R18" s="67">
        <v>0.3</v>
      </c>
      <c r="S18" s="67">
        <v>0.5</v>
      </c>
      <c r="T18" s="54" t="s">
        <v>38</v>
      </c>
      <c r="U18" s="44"/>
      <c r="V18" s="63" t="s">
        <v>75</v>
      </c>
    </row>
    <row r="19" spans="1:22" ht="28.2" customHeight="1">
      <c r="A19" s="155">
        <v>2</v>
      </c>
      <c r="B19" s="157" t="s">
        <v>70</v>
      </c>
      <c r="C19" s="153" t="s">
        <v>177</v>
      </c>
      <c r="D19" s="147">
        <v>45854</v>
      </c>
      <c r="E19" s="38" t="s">
        <v>73</v>
      </c>
      <c r="F19" s="147">
        <v>45853</v>
      </c>
      <c r="G19" s="149">
        <v>5</v>
      </c>
      <c r="H19" s="151">
        <v>2519500055</v>
      </c>
      <c r="I19" s="38">
        <v>0.48</v>
      </c>
      <c r="J19" s="56" t="s">
        <v>62</v>
      </c>
      <c r="K19" s="56" t="s">
        <v>62</v>
      </c>
      <c r="L19" s="57" t="s">
        <v>62</v>
      </c>
      <c r="M19" s="56">
        <v>27.2</v>
      </c>
      <c r="N19" s="57">
        <v>33</v>
      </c>
      <c r="O19" s="58" t="s">
        <v>62</v>
      </c>
      <c r="P19" s="66" t="s">
        <v>62</v>
      </c>
      <c r="Q19" s="66" t="s">
        <v>62</v>
      </c>
      <c r="R19" s="66" t="s">
        <v>62</v>
      </c>
      <c r="S19" s="66" t="s">
        <v>62</v>
      </c>
      <c r="T19" s="43" t="s">
        <v>38</v>
      </c>
      <c r="U19" s="38"/>
      <c r="V19" s="59" t="s">
        <v>76</v>
      </c>
    </row>
    <row r="20" spans="1:22" ht="28.2" customHeight="1" thickBot="1">
      <c r="A20" s="156"/>
      <c r="B20" s="158"/>
      <c r="C20" s="154"/>
      <c r="D20" s="148"/>
      <c r="E20" s="44" t="s">
        <v>74</v>
      </c>
      <c r="F20" s="148"/>
      <c r="G20" s="150"/>
      <c r="H20" s="152"/>
      <c r="I20" s="44">
        <v>0.46</v>
      </c>
      <c r="J20" s="67">
        <v>1.57</v>
      </c>
      <c r="K20" s="60">
        <v>11.63</v>
      </c>
      <c r="L20" s="61">
        <v>13.92</v>
      </c>
      <c r="M20" s="60">
        <v>26</v>
      </c>
      <c r="N20" s="61">
        <v>28</v>
      </c>
      <c r="O20" s="62">
        <v>26000</v>
      </c>
      <c r="P20" s="67">
        <v>54</v>
      </c>
      <c r="Q20" s="67">
        <v>207</v>
      </c>
      <c r="R20" s="67" t="s">
        <v>62</v>
      </c>
      <c r="S20" s="67" t="s">
        <v>62</v>
      </c>
      <c r="T20" s="54" t="s">
        <v>38</v>
      </c>
      <c r="U20" s="44"/>
      <c r="V20" s="63" t="s">
        <v>76</v>
      </c>
    </row>
    <row r="21" spans="1:22" ht="20.100000000000001" customHeight="1"/>
    <row r="22" spans="1:22" ht="20.100000000000001" customHeight="1"/>
    <row r="23" spans="1:22" ht="20.100000000000001" customHeight="1"/>
    <row r="24" spans="1:22" ht="20.100000000000001" customHeight="1"/>
    <row r="25" spans="1:22" ht="20.100000000000001" customHeight="1">
      <c r="H25"/>
    </row>
    <row r="26" spans="1:22" ht="20.100000000000001" customHeight="1"/>
    <row r="27" spans="1:22" ht="20.100000000000001" customHeight="1"/>
    <row r="28" spans="1:22" ht="20.100000000000001" customHeight="1"/>
    <row r="29" spans="1:22" ht="20.100000000000001" customHeight="1"/>
    <row r="30" spans="1:22" ht="20.100000000000001" customHeight="1"/>
    <row r="31" spans="1:22" ht="20.100000000000001" customHeight="1"/>
    <row r="32" spans="1:2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spans="34:34" ht="20.100000000000001" customHeight="1"/>
    <row r="338" spans="34:34" ht="20.100000000000001" customHeight="1"/>
    <row r="339" spans="34:34" ht="20.100000000000001" customHeight="1"/>
    <row r="340" spans="34:34" ht="20.100000000000001" customHeight="1"/>
    <row r="341" spans="34:34" ht="20.100000000000001" customHeight="1"/>
    <row r="342" spans="34:34" ht="20.100000000000001" customHeight="1"/>
    <row r="343" spans="34:34" ht="20.100000000000001" customHeight="1">
      <c r="AH343" s="1" t="s">
        <v>39</v>
      </c>
    </row>
  </sheetData>
  <autoFilter ref="A12:V18" xr:uid="{2023D5D9-0A37-4427-912B-90F76B223594}"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2" showButton="0"/>
    <filterColumn colId="15" showButton="0"/>
  </autoFilter>
  <mergeCells count="46">
    <mergeCell ref="A17:A18"/>
    <mergeCell ref="H19:H20"/>
    <mergeCell ref="A19:A20"/>
    <mergeCell ref="B19:B20"/>
    <mergeCell ref="C19:C20"/>
    <mergeCell ref="D19:D20"/>
    <mergeCell ref="F19:F20"/>
    <mergeCell ref="G19:G20"/>
    <mergeCell ref="B17:B18"/>
    <mergeCell ref="C17:C18"/>
    <mergeCell ref="D17:D18"/>
    <mergeCell ref="F17:F18"/>
    <mergeCell ref="G17:G18"/>
    <mergeCell ref="H17:H18"/>
    <mergeCell ref="A12:A16"/>
    <mergeCell ref="B12:B16"/>
    <mergeCell ref="H10:V10"/>
    <mergeCell ref="I12:N12"/>
    <mergeCell ref="P12:Q12"/>
    <mergeCell ref="T12:T16"/>
    <mergeCell ref="U12:U16"/>
    <mergeCell ref="F12:H13"/>
    <mergeCell ref="C12:C16"/>
    <mergeCell ref="D12:D16"/>
    <mergeCell ref="R12:S12"/>
    <mergeCell ref="I14:N14"/>
    <mergeCell ref="O12:O13"/>
    <mergeCell ref="P14:Q14"/>
    <mergeCell ref="E12:E16"/>
    <mergeCell ref="F14:F16"/>
    <mergeCell ref="G14:G16"/>
    <mergeCell ref="H14:H16"/>
    <mergeCell ref="I15:Q15"/>
    <mergeCell ref="A1:D2"/>
    <mergeCell ref="E1:W2"/>
    <mergeCell ref="A3:C4"/>
    <mergeCell ref="D3:E4"/>
    <mergeCell ref="F3:H4"/>
    <mergeCell ref="I3:L4"/>
    <mergeCell ref="M3:T4"/>
    <mergeCell ref="U3:V4"/>
    <mergeCell ref="D5:V5"/>
    <mergeCell ref="D6:V6"/>
    <mergeCell ref="A7:V7"/>
    <mergeCell ref="H8:V8"/>
    <mergeCell ref="H9:V9"/>
  </mergeCells>
  <conditionalFormatting sqref="I17:I20">
    <cfRule type="cellIs" dxfId="283" priority="9" operator="lessThan">
      <formula>0.2</formula>
    </cfRule>
  </conditionalFormatting>
  <conditionalFormatting sqref="J1:J13 J15:J16 J21:J1048576">
    <cfRule type="cellIs" dxfId="282" priority="44" operator="between">
      <formula>0</formula>
      <formula>1.5</formula>
    </cfRule>
  </conditionalFormatting>
  <conditionalFormatting sqref="K1:L13 K15:L16 K21:L1048576">
    <cfRule type="cellIs" dxfId="281" priority="47" operator="between">
      <formula>0</formula>
      <formula>7.5</formula>
    </cfRule>
  </conditionalFormatting>
  <conditionalFormatting sqref="L17:L20">
    <cfRule type="cellIs" dxfId="280" priority="10" operator="lessThan">
      <formula>M17/2</formula>
    </cfRule>
  </conditionalFormatting>
  <conditionalFormatting sqref="L19:L20">
    <cfRule type="cellIs" dxfId="279" priority="11" operator="lessThan">
      <formula>M$17/2</formula>
    </cfRule>
  </conditionalFormatting>
  <conditionalFormatting sqref="M1:M13 M15:M16 M21:M1048576">
    <cfRule type="cellIs" dxfId="278" priority="43" operator="between">
      <formula>0</formula>
      <formula>16.5</formula>
    </cfRule>
  </conditionalFormatting>
  <conditionalFormatting sqref="M17:N20">
    <cfRule type="cellIs" dxfId="277" priority="7" operator="lessThan">
      <formula>25</formula>
    </cfRule>
  </conditionalFormatting>
  <conditionalFormatting sqref="N1:N13 N15:N16 N21:N1048576">
    <cfRule type="cellIs" dxfId="276" priority="42" operator="between">
      <formula>0</formula>
      <formula>25</formula>
    </cfRule>
  </conditionalFormatting>
  <conditionalFormatting sqref="N17:N20">
    <cfRule type="cellIs" dxfId="275" priority="21" operator="lessThan">
      <formula>25</formula>
    </cfRule>
  </conditionalFormatting>
  <conditionalFormatting sqref="O1:O12 O14:O16 O21:O1048576">
    <cfRule type="cellIs" priority="41" operator="between">
      <formula>0</formula>
      <formula>8000</formula>
    </cfRule>
  </conditionalFormatting>
  <conditionalFormatting sqref="O17:O20">
    <cfRule type="cellIs" dxfId="274" priority="6" operator="lessThan">
      <formula>2000</formula>
    </cfRule>
    <cfRule type="cellIs" dxfId="273" priority="20" operator="lessThan">
      <formula>2000</formula>
    </cfRule>
  </conditionalFormatting>
  <conditionalFormatting sqref="P1:P16 P21:P1048576">
    <cfRule type="cellIs" dxfId="272" priority="40" operator="between">
      <formula>0</formula>
      <formula>19</formula>
    </cfRule>
  </conditionalFormatting>
  <conditionalFormatting sqref="P17:P20">
    <cfRule type="cellIs" dxfId="271" priority="5" operator="lessThan">
      <formula>20</formula>
    </cfRule>
    <cfRule type="cellIs" dxfId="270" priority="18" operator="lessThan">
      <formula>20</formula>
    </cfRule>
  </conditionalFormatting>
  <conditionalFormatting sqref="Q17:Q19">
    <cfRule type="cellIs" dxfId="269" priority="17" operator="lessThan">
      <formula>100</formula>
    </cfRule>
  </conditionalFormatting>
  <conditionalFormatting sqref="Q17:Q20 Q1:S11 Q12:R12 Q13:Q14 Q15:S16 Q21:S1048576">
    <cfRule type="cellIs" dxfId="268" priority="39" operator="between">
      <formula>0</formula>
      <formula>99</formula>
    </cfRule>
  </conditionalFormatting>
  <conditionalFormatting sqref="Q17:Q20">
    <cfRule type="cellIs" dxfId="267" priority="4" operator="lessThan">
      <formula>100</formula>
    </cfRule>
    <cfRule type="cellIs" dxfId="266" priority="28" operator="lessThan">
      <formula>120</formula>
    </cfRule>
    <cfRule type="cellIs" dxfId="265" priority="45" operator="lessThan">
      <formula>100</formula>
    </cfRule>
  </conditionalFormatting>
  <conditionalFormatting sqref="R17:R20">
    <cfRule type="cellIs" dxfId="264" priority="2" operator="lessThan">
      <formula>0.1</formula>
    </cfRule>
  </conditionalFormatting>
  <conditionalFormatting sqref="S17:S20">
    <cfRule type="cellIs" dxfId="263" priority="1" operator="lessThan">
      <formula>0.4</formula>
    </cfRule>
  </conditionalFormatting>
  <conditionalFormatting sqref="T1:T1048576">
    <cfRule type="cellIs" dxfId="262" priority="37" operator="between">
      <formula>"FAIL"</formula>
      <formula>"FAIL"</formula>
    </cfRule>
    <cfRule type="cellIs" dxfId="261" priority="38" operator="between">
      <formula>"PASS"</formula>
      <formula>"PASS"</formula>
    </cfRule>
  </conditionalFormatting>
  <printOptions horizontalCentered="1"/>
  <pageMargins left="0.19685039370078741" right="0.19685039370078741" top="0.19685039370078741" bottom="0.19685039370078741" header="0.11811023622047245" footer="0.15748031496062992"/>
  <pageSetup scale="31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6505-A566-4275-AAFA-A96692645159}">
  <dimension ref="A1:AF343"/>
  <sheetViews>
    <sheetView view="pageBreakPreview" zoomScale="80" zoomScaleNormal="100" zoomScaleSheetLayoutView="80" workbookViewId="0">
      <pane ySplit="16" topLeftCell="A17" activePane="bottomLeft" state="frozen"/>
      <selection pane="bottomLeft" activeCell="D10" sqref="D10"/>
    </sheetView>
  </sheetViews>
  <sheetFormatPr baseColWidth="10" defaultColWidth="9.33203125" defaultRowHeight="10.199999999999999"/>
  <cols>
    <col min="1" max="1" width="5.33203125" style="1" customWidth="1"/>
    <col min="2" max="2" width="16.6640625" style="1" customWidth="1"/>
    <col min="3" max="3" width="17.6640625" style="1" customWidth="1"/>
    <col min="4" max="4" width="14.6640625" style="1" customWidth="1"/>
    <col min="5" max="5" width="11" style="1" customWidth="1"/>
    <col min="6" max="6" width="11.33203125" style="1" customWidth="1"/>
    <col min="7" max="7" width="6.6640625" style="1" customWidth="1"/>
    <col min="8" max="8" width="11.33203125" style="1" customWidth="1"/>
    <col min="9" max="9" width="8.44140625" style="1" customWidth="1"/>
    <col min="10" max="10" width="5.33203125" style="1" customWidth="1"/>
    <col min="11" max="11" width="6.109375" style="1" customWidth="1"/>
    <col min="12" max="12" width="11.6640625" style="1" customWidth="1"/>
    <col min="13" max="13" width="9" style="1" customWidth="1"/>
    <col min="14" max="14" width="7.44140625" style="1" customWidth="1"/>
    <col min="15" max="15" width="16.44140625" style="1" customWidth="1"/>
    <col min="16" max="17" width="6.109375" style="1" customWidth="1"/>
    <col min="18" max="18" width="9.88671875" style="1" customWidth="1"/>
    <col min="19" max="19" width="14.88671875" style="46" customWidth="1"/>
    <col min="20" max="20" width="33" style="46" customWidth="1"/>
    <col min="21" max="16384" width="9.33203125" style="1"/>
  </cols>
  <sheetData>
    <row r="1" spans="1:32" ht="21" customHeight="1">
      <c r="A1" s="88" t="s">
        <v>40</v>
      </c>
      <c r="B1" s="89"/>
      <c r="C1" s="89"/>
      <c r="D1" s="90"/>
      <c r="E1" s="94" t="s">
        <v>0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6"/>
    </row>
    <row r="2" spans="1:32" ht="29.25" customHeight="1" thickBot="1">
      <c r="A2" s="91"/>
      <c r="B2" s="92"/>
      <c r="C2" s="92"/>
      <c r="D2" s="93"/>
      <c r="E2" s="97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9"/>
    </row>
    <row r="3" spans="1:32" ht="22.5" customHeight="1">
      <c r="A3" s="100" t="s">
        <v>41</v>
      </c>
      <c r="B3" s="101"/>
      <c r="C3" s="102"/>
      <c r="D3" s="100" t="s">
        <v>42</v>
      </c>
      <c r="E3" s="102"/>
      <c r="F3" s="100" t="s">
        <v>43</v>
      </c>
      <c r="G3" s="101"/>
      <c r="H3" s="102"/>
      <c r="I3" s="100" t="s">
        <v>44</v>
      </c>
      <c r="J3" s="101"/>
      <c r="K3" s="101"/>
      <c r="L3" s="102"/>
      <c r="M3" s="100" t="s">
        <v>1</v>
      </c>
      <c r="N3" s="101"/>
      <c r="O3" s="101"/>
      <c r="P3" s="101"/>
      <c r="Q3" s="101"/>
      <c r="R3" s="101"/>
      <c r="S3" s="106" t="s">
        <v>2</v>
      </c>
      <c r="T3" s="107"/>
    </row>
    <row r="4" spans="1:32" ht="23.25" customHeight="1" thickBot="1">
      <c r="A4" s="103"/>
      <c r="B4" s="104"/>
      <c r="C4" s="105"/>
      <c r="D4" s="103"/>
      <c r="E4" s="105"/>
      <c r="F4" s="103"/>
      <c r="G4" s="104"/>
      <c r="H4" s="105"/>
      <c r="I4" s="103"/>
      <c r="J4" s="104"/>
      <c r="K4" s="104"/>
      <c r="L4" s="105"/>
      <c r="M4" s="103"/>
      <c r="N4" s="104"/>
      <c r="O4" s="104"/>
      <c r="P4" s="104"/>
      <c r="Q4" s="104"/>
      <c r="R4" s="104"/>
      <c r="S4" s="108"/>
      <c r="T4" s="109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5.75" customHeight="1">
      <c r="A5" s="3"/>
      <c r="B5" s="3"/>
      <c r="C5" s="3"/>
      <c r="D5" s="110" t="s">
        <v>3</v>
      </c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</row>
    <row r="6" spans="1:32" ht="9.75" customHeight="1" thickBot="1">
      <c r="A6" s="4"/>
      <c r="B6" s="4"/>
      <c r="C6" s="4"/>
      <c r="D6" s="111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</row>
    <row r="7" spans="1:32" ht="16.5" customHeight="1" thickBot="1">
      <c r="A7" s="113" t="s">
        <v>4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</row>
    <row r="8" spans="1:32" ht="11.25" customHeight="1">
      <c r="A8" s="5"/>
      <c r="B8" s="6"/>
      <c r="C8" s="6"/>
      <c r="D8" s="7"/>
      <c r="E8" s="7"/>
      <c r="F8" s="7"/>
      <c r="G8" s="8"/>
      <c r="H8" s="114" t="s">
        <v>5</v>
      </c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6"/>
    </row>
    <row r="9" spans="1:32" ht="12" customHeight="1">
      <c r="A9" s="9"/>
      <c r="B9" s="49"/>
      <c r="C9" s="10" t="s">
        <v>104</v>
      </c>
      <c r="D9" s="10"/>
      <c r="E9" s="10"/>
      <c r="F9" s="10"/>
      <c r="G9" s="11"/>
      <c r="H9" s="85" t="s">
        <v>6</v>
      </c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7"/>
    </row>
    <row r="10" spans="1:32" ht="12" customHeight="1">
      <c r="A10" s="9"/>
      <c r="B10" s="49"/>
      <c r="C10" s="10" t="s">
        <v>105</v>
      </c>
      <c r="D10" s="12"/>
      <c r="E10" s="13"/>
      <c r="F10" s="13"/>
      <c r="G10" s="14"/>
      <c r="H10" s="85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7"/>
    </row>
    <row r="11" spans="1:32" ht="10.8" thickBot="1">
      <c r="A11" s="15"/>
      <c r="B11" s="19"/>
      <c r="C11" s="16"/>
      <c r="D11" s="17"/>
      <c r="E11" s="16"/>
      <c r="F11" s="16"/>
      <c r="G11" s="18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20"/>
    </row>
    <row r="12" spans="1:32" ht="34.5" customHeight="1" thickBot="1">
      <c r="A12" s="159" t="s">
        <v>7</v>
      </c>
      <c r="B12" s="117" t="s">
        <v>61</v>
      </c>
      <c r="C12" s="117" t="s">
        <v>77</v>
      </c>
      <c r="D12" s="117" t="s">
        <v>8</v>
      </c>
      <c r="E12" s="117" t="s">
        <v>9</v>
      </c>
      <c r="F12" s="119" t="s">
        <v>10</v>
      </c>
      <c r="G12" s="120"/>
      <c r="H12" s="121"/>
      <c r="I12" s="125" t="s">
        <v>11</v>
      </c>
      <c r="J12" s="126"/>
      <c r="K12" s="126"/>
      <c r="L12" s="126"/>
      <c r="M12" s="126"/>
      <c r="N12" s="127"/>
      <c r="O12" s="21" t="s">
        <v>12</v>
      </c>
      <c r="P12" s="128" t="s">
        <v>13</v>
      </c>
      <c r="Q12" s="129"/>
      <c r="R12" s="100" t="s">
        <v>14</v>
      </c>
      <c r="S12" s="117" t="s">
        <v>15</v>
      </c>
      <c r="T12" s="21"/>
    </row>
    <row r="13" spans="1:32" ht="23.25" customHeight="1" thickBot="1">
      <c r="A13" s="160"/>
      <c r="B13" s="118"/>
      <c r="C13" s="118"/>
      <c r="D13" s="118"/>
      <c r="E13" s="118"/>
      <c r="F13" s="122"/>
      <c r="G13" s="123"/>
      <c r="H13" s="124"/>
      <c r="I13" s="23" t="s">
        <v>16</v>
      </c>
      <c r="J13" s="24" t="s">
        <v>17</v>
      </c>
      <c r="K13" s="24" t="s">
        <v>18</v>
      </c>
      <c r="L13" s="24" t="s">
        <v>19</v>
      </c>
      <c r="M13" s="24" t="s">
        <v>20</v>
      </c>
      <c r="N13" s="25" t="s">
        <v>21</v>
      </c>
      <c r="O13" s="22" t="s">
        <v>22</v>
      </c>
      <c r="P13" s="26" t="s">
        <v>23</v>
      </c>
      <c r="Q13" s="55" t="s">
        <v>24</v>
      </c>
      <c r="R13" s="132"/>
      <c r="S13" s="118"/>
      <c r="T13" s="22"/>
      <c r="Y13" s="1" t="s">
        <v>25</v>
      </c>
    </row>
    <row r="14" spans="1:32" ht="22.5" customHeight="1">
      <c r="A14" s="160"/>
      <c r="B14" s="118"/>
      <c r="C14" s="118"/>
      <c r="D14" s="118"/>
      <c r="E14" s="118"/>
      <c r="F14" s="133" t="s">
        <v>26</v>
      </c>
      <c r="G14" s="135" t="s">
        <v>27</v>
      </c>
      <c r="H14" s="137" t="s">
        <v>85</v>
      </c>
      <c r="I14" s="139" t="s">
        <v>28</v>
      </c>
      <c r="J14" s="140"/>
      <c r="K14" s="140"/>
      <c r="L14" s="140"/>
      <c r="M14" s="141"/>
      <c r="N14" s="28" t="s">
        <v>28</v>
      </c>
      <c r="O14" s="29" t="s">
        <v>29</v>
      </c>
      <c r="P14" s="142" t="s">
        <v>30</v>
      </c>
      <c r="Q14" s="143"/>
      <c r="R14" s="132"/>
      <c r="S14" s="118"/>
      <c r="T14" s="22" t="s">
        <v>31</v>
      </c>
    </row>
    <row r="15" spans="1:32" ht="22.5" customHeight="1">
      <c r="A15" s="160"/>
      <c r="B15" s="118"/>
      <c r="C15" s="118"/>
      <c r="D15" s="118"/>
      <c r="E15" s="118"/>
      <c r="F15" s="134"/>
      <c r="G15" s="136"/>
      <c r="H15" s="138"/>
      <c r="I15" s="144" t="s">
        <v>32</v>
      </c>
      <c r="J15" s="145"/>
      <c r="K15" s="145"/>
      <c r="L15" s="145"/>
      <c r="M15" s="145"/>
      <c r="N15" s="145"/>
      <c r="O15" s="145"/>
      <c r="P15" s="145"/>
      <c r="Q15" s="146"/>
      <c r="R15" s="132"/>
      <c r="S15" s="118"/>
      <c r="T15" s="22"/>
    </row>
    <row r="16" spans="1:32" ht="36" customHeight="1" thickBot="1">
      <c r="A16" s="160"/>
      <c r="B16" s="118"/>
      <c r="C16" s="118"/>
      <c r="D16" s="118"/>
      <c r="E16" s="118"/>
      <c r="F16" s="134"/>
      <c r="G16" s="136"/>
      <c r="H16" s="138"/>
      <c r="I16" s="30" t="s">
        <v>98</v>
      </c>
      <c r="J16" s="31" t="s">
        <v>51</v>
      </c>
      <c r="K16" s="32" t="s">
        <v>88</v>
      </c>
      <c r="L16" s="32" t="s">
        <v>89</v>
      </c>
      <c r="M16" s="32" t="s">
        <v>90</v>
      </c>
      <c r="N16" s="33" t="s">
        <v>87</v>
      </c>
      <c r="O16" s="74" t="s">
        <v>141</v>
      </c>
      <c r="P16" s="35" t="s">
        <v>86</v>
      </c>
      <c r="Q16" s="32" t="s">
        <v>86</v>
      </c>
      <c r="R16" s="132"/>
      <c r="S16" s="118"/>
      <c r="T16" s="22"/>
    </row>
    <row r="17" spans="1:20" ht="20.100000000000001" customHeight="1">
      <c r="A17" s="155">
        <v>1</v>
      </c>
      <c r="B17" s="157" t="s">
        <v>82</v>
      </c>
      <c r="C17" s="153" t="s">
        <v>83</v>
      </c>
      <c r="D17" s="147">
        <v>45875</v>
      </c>
      <c r="E17" s="37" t="s">
        <v>84</v>
      </c>
      <c r="F17" s="147">
        <v>45874</v>
      </c>
      <c r="G17" s="149">
        <v>20</v>
      </c>
      <c r="H17" s="151">
        <v>2521700025</v>
      </c>
      <c r="I17" s="38">
        <v>0.49</v>
      </c>
      <c r="J17" s="39" t="s">
        <v>62</v>
      </c>
      <c r="K17" s="39" t="s">
        <v>62</v>
      </c>
      <c r="L17" s="40" t="s">
        <v>62</v>
      </c>
      <c r="M17" s="39">
        <v>38.1</v>
      </c>
      <c r="N17" s="40">
        <v>44.7</v>
      </c>
      <c r="O17" s="41" t="s">
        <v>62</v>
      </c>
      <c r="P17" s="42" t="s">
        <v>62</v>
      </c>
      <c r="Q17" s="42" t="s">
        <v>62</v>
      </c>
      <c r="R17" s="43" t="s">
        <v>79</v>
      </c>
      <c r="S17" s="37"/>
      <c r="T17" s="47" t="s">
        <v>63</v>
      </c>
    </row>
    <row r="18" spans="1:20" ht="20.100000000000001" customHeight="1" thickBot="1">
      <c r="A18" s="156"/>
      <c r="B18" s="158"/>
      <c r="C18" s="154"/>
      <c r="D18" s="148"/>
      <c r="E18" s="44" t="s">
        <v>78</v>
      </c>
      <c r="F18" s="148"/>
      <c r="G18" s="150"/>
      <c r="H18" s="152"/>
      <c r="I18" s="44">
        <v>0.47</v>
      </c>
      <c r="J18" s="51">
        <v>1.95</v>
      </c>
      <c r="K18" s="50">
        <v>10.4</v>
      </c>
      <c r="L18" s="50">
        <v>14.34</v>
      </c>
      <c r="M18" s="50">
        <v>30.7</v>
      </c>
      <c r="N18" s="52">
        <v>31.1</v>
      </c>
      <c r="O18" s="53">
        <v>10500</v>
      </c>
      <c r="P18" s="51">
        <v>19</v>
      </c>
      <c r="Q18" s="51">
        <v>101</v>
      </c>
      <c r="R18" s="54" t="s">
        <v>79</v>
      </c>
      <c r="S18" s="45"/>
      <c r="T18" s="48" t="s">
        <v>63</v>
      </c>
    </row>
    <row r="19" spans="1:20" ht="20.100000000000001" customHeight="1">
      <c r="A19" s="155">
        <v>2</v>
      </c>
      <c r="B19" s="157"/>
      <c r="C19" s="153"/>
      <c r="D19" s="147"/>
      <c r="E19" s="37"/>
      <c r="F19" s="147"/>
      <c r="G19" s="149"/>
      <c r="H19" s="151"/>
      <c r="I19" s="38"/>
      <c r="J19" s="39"/>
      <c r="K19" s="39"/>
      <c r="L19" s="40"/>
      <c r="M19" s="39"/>
      <c r="N19" s="40"/>
      <c r="O19" s="41"/>
      <c r="P19" s="42"/>
      <c r="Q19" s="42"/>
      <c r="R19" s="43"/>
      <c r="S19" s="37"/>
      <c r="T19" s="47"/>
    </row>
    <row r="20" spans="1:20" ht="20.100000000000001" customHeight="1" thickBot="1">
      <c r="A20" s="156"/>
      <c r="B20" s="158"/>
      <c r="C20" s="154"/>
      <c r="D20" s="148"/>
      <c r="E20" s="44"/>
      <c r="F20" s="148"/>
      <c r="G20" s="150"/>
      <c r="H20" s="152"/>
      <c r="I20" s="44"/>
      <c r="J20" s="51"/>
      <c r="K20" s="50"/>
      <c r="L20" s="50"/>
      <c r="M20" s="50"/>
      <c r="N20" s="52"/>
      <c r="O20" s="53"/>
      <c r="P20" s="51"/>
      <c r="Q20" s="51"/>
      <c r="R20" s="54"/>
      <c r="S20" s="45"/>
      <c r="T20" s="48"/>
    </row>
    <row r="21" spans="1:20" ht="20.100000000000001" customHeight="1"/>
    <row r="22" spans="1:20" ht="20.100000000000001" customHeight="1"/>
    <row r="23" spans="1:20" ht="20.100000000000001" customHeight="1"/>
    <row r="24" spans="1:20" ht="20.100000000000001" customHeight="1"/>
    <row r="25" spans="1:20" ht="20.100000000000001" customHeight="1">
      <c r="H25"/>
    </row>
    <row r="26" spans="1:20" ht="20.100000000000001" customHeight="1"/>
    <row r="27" spans="1:20" ht="20.100000000000001" customHeight="1"/>
    <row r="28" spans="1:20" ht="20.100000000000001" customHeight="1"/>
    <row r="29" spans="1:20" ht="20.100000000000001" customHeight="1"/>
    <row r="30" spans="1:20" ht="20.100000000000001" customHeight="1"/>
    <row r="31" spans="1:20" ht="20.100000000000001" customHeight="1"/>
    <row r="32" spans="1:20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spans="32:32" ht="20.100000000000001" customHeight="1"/>
    <row r="338" spans="32:32" ht="20.100000000000001" customHeight="1"/>
    <row r="339" spans="32:32" ht="20.100000000000001" customHeight="1"/>
    <row r="340" spans="32:32" ht="20.100000000000001" customHeight="1"/>
    <row r="341" spans="32:32" ht="20.100000000000001" customHeight="1"/>
    <row r="342" spans="32:32" ht="20.100000000000001" customHeight="1"/>
    <row r="343" spans="32:32" ht="20.100000000000001" customHeight="1">
      <c r="AF343" s="1" t="s">
        <v>39</v>
      </c>
    </row>
  </sheetData>
  <autoFilter ref="A12:T18" xr:uid="{2023D5D9-0A37-4427-912B-90F76B223594}"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2" showButton="0"/>
    <filterColumn colId="15" showButton="0"/>
  </autoFilter>
  <mergeCells count="44">
    <mergeCell ref="H19:H20"/>
    <mergeCell ref="A19:A20"/>
    <mergeCell ref="B19:B20"/>
    <mergeCell ref="C19:C20"/>
    <mergeCell ref="D19:D20"/>
    <mergeCell ref="F19:F20"/>
    <mergeCell ref="G19:G20"/>
    <mergeCell ref="G17:G18"/>
    <mergeCell ref="H17:H18"/>
    <mergeCell ref="A12:A16"/>
    <mergeCell ref="B12:B16"/>
    <mergeCell ref="C12:C16"/>
    <mergeCell ref="D12:D16"/>
    <mergeCell ref="E12:E16"/>
    <mergeCell ref="A17:A18"/>
    <mergeCell ref="B17:B18"/>
    <mergeCell ref="C17:C18"/>
    <mergeCell ref="D17:D18"/>
    <mergeCell ref="F17:F18"/>
    <mergeCell ref="I12:N12"/>
    <mergeCell ref="P12:Q12"/>
    <mergeCell ref="R12:R16"/>
    <mergeCell ref="S12:S16"/>
    <mergeCell ref="F14:F16"/>
    <mergeCell ref="G14:G16"/>
    <mergeCell ref="H14:H16"/>
    <mergeCell ref="I14:M14"/>
    <mergeCell ref="P14:Q14"/>
    <mergeCell ref="F12:H13"/>
    <mergeCell ref="I15:Q15"/>
    <mergeCell ref="H10:T10"/>
    <mergeCell ref="A1:D2"/>
    <mergeCell ref="E1:U2"/>
    <mergeCell ref="A3:C4"/>
    <mergeCell ref="D3:E4"/>
    <mergeCell ref="F3:H4"/>
    <mergeCell ref="I3:L4"/>
    <mergeCell ref="M3:R4"/>
    <mergeCell ref="S3:T4"/>
    <mergeCell ref="D5:T5"/>
    <mergeCell ref="D6:T6"/>
    <mergeCell ref="A7:T7"/>
    <mergeCell ref="H8:T8"/>
    <mergeCell ref="H9:T9"/>
  </mergeCells>
  <conditionalFormatting sqref="I17:I20">
    <cfRule type="cellIs" dxfId="260" priority="6" operator="lessThan">
      <formula>0.2</formula>
    </cfRule>
    <cfRule type="cellIs" dxfId="259" priority="7" operator="greaterThan">
      <formula>0.5</formula>
    </cfRule>
  </conditionalFormatting>
  <conditionalFormatting sqref="J1:J16 J21:J1048576">
    <cfRule type="cellIs" dxfId="258" priority="24" operator="between">
      <formula>0</formula>
      <formula>1.5</formula>
    </cfRule>
  </conditionalFormatting>
  <conditionalFormatting sqref="K17:K20">
    <cfRule type="cellIs" dxfId="257" priority="5" operator="lessThan">
      <formula>7.62</formula>
    </cfRule>
  </conditionalFormatting>
  <conditionalFormatting sqref="K1:L16 K21:L1048576">
    <cfRule type="cellIs" dxfId="256" priority="27" operator="between">
      <formula>0</formula>
      <formula>7.5</formula>
    </cfRule>
  </conditionalFormatting>
  <conditionalFormatting sqref="L17:L20">
    <cfRule type="cellIs" dxfId="255" priority="4" operator="lessThan">
      <formula>12.7</formula>
    </cfRule>
  </conditionalFormatting>
  <conditionalFormatting sqref="M1:M16 M21:M1048576">
    <cfRule type="cellIs" dxfId="254" priority="23" operator="between">
      <formula>0</formula>
      <formula>16.5</formula>
    </cfRule>
  </conditionalFormatting>
  <conditionalFormatting sqref="M17:M20">
    <cfRule type="cellIs" dxfId="253" priority="3" operator="lessThan">
      <formula>20.32</formula>
    </cfRule>
  </conditionalFormatting>
  <conditionalFormatting sqref="N1:N16 N21:N1048576">
    <cfRule type="cellIs" dxfId="252" priority="22" operator="between">
      <formula>0</formula>
      <formula>25</formula>
    </cfRule>
  </conditionalFormatting>
  <conditionalFormatting sqref="N17:N20">
    <cfRule type="cellIs" dxfId="251" priority="2" operator="lessThan">
      <formula>15.24</formula>
    </cfRule>
  </conditionalFormatting>
  <conditionalFormatting sqref="O1:O16 O21:O1048576">
    <cfRule type="cellIs" priority="21" operator="between">
      <formula>0</formula>
      <formula>8000</formula>
    </cfRule>
  </conditionalFormatting>
  <conditionalFormatting sqref="O17:O20">
    <cfRule type="cellIs" dxfId="250" priority="1" operator="lessThan">
      <formula>10000</formula>
    </cfRule>
  </conditionalFormatting>
  <conditionalFormatting sqref="P1:P16 P21:P1048576">
    <cfRule type="cellIs" dxfId="249" priority="20" operator="between">
      <formula>0</formula>
      <formula>19</formula>
    </cfRule>
  </conditionalFormatting>
  <conditionalFormatting sqref="Q1:Q16 Q21:Q1048576">
    <cfRule type="cellIs" dxfId="248" priority="19" operator="between">
      <formula>0</formula>
      <formula>99</formula>
    </cfRule>
  </conditionalFormatting>
  <conditionalFormatting sqref="R1:R1048576">
    <cfRule type="cellIs" dxfId="247" priority="17" operator="between">
      <formula>"FAIL"</formula>
      <formula>"FAIL"</formula>
    </cfRule>
    <cfRule type="cellIs" dxfId="246" priority="18" operator="between">
      <formula>"PASS"</formula>
      <formula>"PASS"</formula>
    </cfRule>
  </conditionalFormatting>
  <printOptions horizontalCentered="1"/>
  <pageMargins left="0.19685039370078741" right="0.19685039370078741" top="0.19685039370078741" bottom="0.19685039370078741" header="0.11811023622047245" footer="0.15748031496062992"/>
  <pageSetup scale="31" orientation="landscape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1F8D-107C-42A1-8A2F-04506E4071E2}">
  <sheetPr>
    <tabColor rgb="FF0066FF"/>
  </sheetPr>
  <dimension ref="A1:AF343"/>
  <sheetViews>
    <sheetView view="pageBreakPreview" zoomScale="80" zoomScaleNormal="100" zoomScaleSheetLayoutView="80" workbookViewId="0">
      <pane ySplit="16" topLeftCell="A17" activePane="bottomLeft" state="frozen"/>
      <selection pane="bottomLeft" activeCell="R18" sqref="R18"/>
    </sheetView>
  </sheetViews>
  <sheetFormatPr baseColWidth="10" defaultColWidth="9.33203125" defaultRowHeight="10.199999999999999"/>
  <cols>
    <col min="1" max="1" width="5.33203125" style="1" customWidth="1"/>
    <col min="2" max="2" width="16.6640625" style="1" customWidth="1"/>
    <col min="3" max="3" width="17.6640625" style="1" customWidth="1"/>
    <col min="4" max="4" width="14.6640625" style="1" customWidth="1"/>
    <col min="5" max="5" width="11" style="1" customWidth="1"/>
    <col min="6" max="6" width="11.33203125" style="1" customWidth="1"/>
    <col min="7" max="7" width="6.6640625" style="1" customWidth="1"/>
    <col min="8" max="8" width="11.33203125" style="1" customWidth="1"/>
    <col min="9" max="9" width="8.44140625" style="1" customWidth="1"/>
    <col min="10" max="10" width="5.33203125" style="1" customWidth="1"/>
    <col min="11" max="11" width="6.109375" style="1" customWidth="1"/>
    <col min="12" max="12" width="11.6640625" style="1" customWidth="1"/>
    <col min="13" max="13" width="9" style="1" customWidth="1"/>
    <col min="14" max="14" width="5.33203125" style="1" customWidth="1"/>
    <col min="15" max="15" width="10.88671875" style="1" customWidth="1"/>
    <col min="16" max="17" width="6.109375" style="1" customWidth="1"/>
    <col min="18" max="18" width="9.88671875" style="1" customWidth="1"/>
    <col min="19" max="19" width="14.88671875" style="46" customWidth="1"/>
    <col min="20" max="20" width="33" style="46" customWidth="1"/>
    <col min="21" max="16384" width="9.33203125" style="1"/>
  </cols>
  <sheetData>
    <row r="1" spans="1:32" ht="21" customHeight="1">
      <c r="A1" s="88" t="s">
        <v>40</v>
      </c>
      <c r="B1" s="89"/>
      <c r="C1" s="89"/>
      <c r="D1" s="90"/>
      <c r="E1" s="94" t="s">
        <v>0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6"/>
    </row>
    <row r="2" spans="1:32" ht="29.25" customHeight="1" thickBot="1">
      <c r="A2" s="91"/>
      <c r="B2" s="92"/>
      <c r="C2" s="92"/>
      <c r="D2" s="93"/>
      <c r="E2" s="97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9"/>
    </row>
    <row r="3" spans="1:32" ht="22.5" customHeight="1">
      <c r="A3" s="100" t="s">
        <v>41</v>
      </c>
      <c r="B3" s="101"/>
      <c r="C3" s="102"/>
      <c r="D3" s="100" t="s">
        <v>42</v>
      </c>
      <c r="E3" s="102"/>
      <c r="F3" s="100" t="s">
        <v>43</v>
      </c>
      <c r="G3" s="101"/>
      <c r="H3" s="102"/>
      <c r="I3" s="100" t="s">
        <v>44</v>
      </c>
      <c r="J3" s="101"/>
      <c r="K3" s="101"/>
      <c r="L3" s="102"/>
      <c r="M3" s="100" t="s">
        <v>1</v>
      </c>
      <c r="N3" s="101"/>
      <c r="O3" s="101"/>
      <c r="P3" s="101"/>
      <c r="Q3" s="101"/>
      <c r="R3" s="101"/>
      <c r="S3" s="106" t="s">
        <v>2</v>
      </c>
      <c r="T3" s="107"/>
    </row>
    <row r="4" spans="1:32" ht="23.25" customHeight="1" thickBot="1">
      <c r="A4" s="103"/>
      <c r="B4" s="104"/>
      <c r="C4" s="105"/>
      <c r="D4" s="103"/>
      <c r="E4" s="105"/>
      <c r="F4" s="103"/>
      <c r="G4" s="104"/>
      <c r="H4" s="105"/>
      <c r="I4" s="103"/>
      <c r="J4" s="104"/>
      <c r="K4" s="104"/>
      <c r="L4" s="105"/>
      <c r="M4" s="103"/>
      <c r="N4" s="104"/>
      <c r="O4" s="104"/>
      <c r="P4" s="104"/>
      <c r="Q4" s="104"/>
      <c r="R4" s="104"/>
      <c r="S4" s="108"/>
      <c r="T4" s="109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5.75" customHeight="1">
      <c r="A5" s="3"/>
      <c r="B5" s="3"/>
      <c r="C5" s="3"/>
      <c r="D5" s="110" t="s">
        <v>3</v>
      </c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</row>
    <row r="6" spans="1:32" ht="9.75" customHeight="1" thickBot="1">
      <c r="A6" s="4"/>
      <c r="B6" s="4"/>
      <c r="C6" s="4"/>
      <c r="D6" s="111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</row>
    <row r="7" spans="1:32" ht="16.5" customHeight="1" thickBot="1">
      <c r="A7" s="113" t="s">
        <v>4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</row>
    <row r="8" spans="1:32" ht="11.25" customHeight="1">
      <c r="A8" s="5"/>
      <c r="B8" s="6"/>
      <c r="C8" s="6"/>
      <c r="D8" s="7"/>
      <c r="E8" s="7"/>
      <c r="F8" s="7"/>
      <c r="G8" s="8"/>
      <c r="H8" s="114" t="s">
        <v>5</v>
      </c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6"/>
    </row>
    <row r="9" spans="1:32" ht="12" customHeight="1">
      <c r="A9" s="9"/>
      <c r="B9" s="49"/>
      <c r="C9" s="10" t="s">
        <v>106</v>
      </c>
      <c r="D9" s="10"/>
      <c r="E9" s="10"/>
      <c r="F9" s="10"/>
      <c r="G9" s="11"/>
      <c r="H9" s="85" t="s">
        <v>6</v>
      </c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7"/>
    </row>
    <row r="10" spans="1:32" ht="12" customHeight="1">
      <c r="A10" s="9"/>
      <c r="B10" s="49"/>
      <c r="C10" s="10" t="s">
        <v>107</v>
      </c>
      <c r="D10" s="12"/>
      <c r="E10" s="13"/>
      <c r="F10" s="13"/>
      <c r="G10" s="14"/>
      <c r="H10" s="85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7"/>
    </row>
    <row r="11" spans="1:32" ht="10.8" thickBot="1">
      <c r="A11" s="15"/>
      <c r="B11" s="19"/>
      <c r="C11" s="16"/>
      <c r="D11" s="17"/>
      <c r="E11" s="16"/>
      <c r="F11" s="16"/>
      <c r="G11" s="18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20"/>
    </row>
    <row r="12" spans="1:32" ht="34.5" customHeight="1" thickBot="1">
      <c r="A12" s="159" t="s">
        <v>7</v>
      </c>
      <c r="B12" s="117" t="s">
        <v>61</v>
      </c>
      <c r="C12" s="117" t="s">
        <v>77</v>
      </c>
      <c r="D12" s="117" t="s">
        <v>8</v>
      </c>
      <c r="E12" s="117" t="s">
        <v>9</v>
      </c>
      <c r="F12" s="119" t="s">
        <v>10</v>
      </c>
      <c r="G12" s="120"/>
      <c r="H12" s="121"/>
      <c r="I12" s="125" t="s">
        <v>11</v>
      </c>
      <c r="J12" s="126"/>
      <c r="K12" s="126"/>
      <c r="L12" s="126"/>
      <c r="M12" s="126"/>
      <c r="N12" s="127"/>
      <c r="O12" s="21" t="s">
        <v>12</v>
      </c>
      <c r="P12" s="128" t="s">
        <v>13</v>
      </c>
      <c r="Q12" s="129"/>
      <c r="R12" s="100" t="s">
        <v>14</v>
      </c>
      <c r="S12" s="117" t="s">
        <v>15</v>
      </c>
      <c r="T12" s="21"/>
    </row>
    <row r="13" spans="1:32" ht="23.25" customHeight="1" thickBot="1">
      <c r="A13" s="160"/>
      <c r="B13" s="118"/>
      <c r="C13" s="118"/>
      <c r="D13" s="118"/>
      <c r="E13" s="118"/>
      <c r="F13" s="122"/>
      <c r="G13" s="123"/>
      <c r="H13" s="124"/>
      <c r="I13" s="23" t="s">
        <v>16</v>
      </c>
      <c r="J13" s="24" t="s">
        <v>17</v>
      </c>
      <c r="K13" s="24" t="s">
        <v>18</v>
      </c>
      <c r="L13" s="24" t="s">
        <v>19</v>
      </c>
      <c r="M13" s="24" t="s">
        <v>20</v>
      </c>
      <c r="N13" s="25" t="s">
        <v>21</v>
      </c>
      <c r="O13" s="22" t="s">
        <v>22</v>
      </c>
      <c r="P13" s="26" t="s">
        <v>23</v>
      </c>
      <c r="Q13" s="55" t="s">
        <v>24</v>
      </c>
      <c r="R13" s="132"/>
      <c r="S13" s="118"/>
      <c r="T13" s="22"/>
      <c r="Y13" s="1" t="s">
        <v>25</v>
      </c>
    </row>
    <row r="14" spans="1:32" ht="22.5" customHeight="1">
      <c r="A14" s="160"/>
      <c r="B14" s="118"/>
      <c r="C14" s="118"/>
      <c r="D14" s="118"/>
      <c r="E14" s="118"/>
      <c r="F14" s="133" t="s">
        <v>26</v>
      </c>
      <c r="G14" s="135" t="s">
        <v>27</v>
      </c>
      <c r="H14" s="137" t="s">
        <v>85</v>
      </c>
      <c r="I14" s="139" t="s">
        <v>28</v>
      </c>
      <c r="J14" s="140"/>
      <c r="K14" s="140"/>
      <c r="L14" s="140"/>
      <c r="M14" s="141"/>
      <c r="N14" s="28" t="s">
        <v>28</v>
      </c>
      <c r="O14" s="29" t="s">
        <v>29</v>
      </c>
      <c r="P14" s="142" t="s">
        <v>30</v>
      </c>
      <c r="Q14" s="143"/>
      <c r="R14" s="132"/>
      <c r="S14" s="118"/>
      <c r="T14" s="22" t="s">
        <v>31</v>
      </c>
    </row>
    <row r="15" spans="1:32" ht="22.5" customHeight="1">
      <c r="A15" s="160"/>
      <c r="B15" s="118"/>
      <c r="C15" s="118"/>
      <c r="D15" s="118"/>
      <c r="E15" s="118"/>
      <c r="F15" s="134"/>
      <c r="G15" s="136"/>
      <c r="H15" s="138"/>
      <c r="I15" s="144" t="s">
        <v>32</v>
      </c>
      <c r="J15" s="145"/>
      <c r="K15" s="145"/>
      <c r="L15" s="145"/>
      <c r="M15" s="145"/>
      <c r="N15" s="145"/>
      <c r="O15" s="145"/>
      <c r="P15" s="145"/>
      <c r="Q15" s="146"/>
      <c r="R15" s="132"/>
      <c r="S15" s="118"/>
      <c r="T15" s="22"/>
    </row>
    <row r="16" spans="1:32" ht="36" customHeight="1" thickBot="1">
      <c r="A16" s="160"/>
      <c r="B16" s="118"/>
      <c r="C16" s="118"/>
      <c r="D16" s="118"/>
      <c r="E16" s="118"/>
      <c r="F16" s="134"/>
      <c r="G16" s="136"/>
      <c r="H16" s="138"/>
      <c r="I16" s="30" t="s">
        <v>98</v>
      </c>
      <c r="J16" s="31" t="s">
        <v>51</v>
      </c>
      <c r="K16" s="32" t="s">
        <v>96</v>
      </c>
      <c r="L16" s="32" t="s">
        <v>97</v>
      </c>
      <c r="M16" s="32" t="s">
        <v>36</v>
      </c>
      <c r="N16" s="33" t="s">
        <v>36</v>
      </c>
      <c r="O16" s="34" t="s">
        <v>55</v>
      </c>
      <c r="P16" s="35" t="s">
        <v>86</v>
      </c>
      <c r="Q16" s="32" t="s">
        <v>86</v>
      </c>
      <c r="R16" s="132"/>
      <c r="S16" s="118"/>
      <c r="T16" s="22"/>
    </row>
    <row r="17" spans="1:20" ht="20.100000000000001" customHeight="1">
      <c r="A17" s="155">
        <v>1</v>
      </c>
      <c r="B17" s="157" t="s">
        <v>91</v>
      </c>
      <c r="C17" s="153" t="s">
        <v>92</v>
      </c>
      <c r="D17" s="147">
        <v>45876</v>
      </c>
      <c r="E17" s="37" t="s">
        <v>93</v>
      </c>
      <c r="F17" s="147" t="s">
        <v>95</v>
      </c>
      <c r="G17" s="149">
        <v>8</v>
      </c>
      <c r="H17" s="151">
        <v>2521600136</v>
      </c>
      <c r="I17" s="38">
        <v>0.49</v>
      </c>
      <c r="J17" s="39">
        <v>1.01</v>
      </c>
      <c r="K17" s="39">
        <v>9.94</v>
      </c>
      <c r="L17" s="40">
        <v>13.16</v>
      </c>
      <c r="M17" s="39">
        <v>26.8</v>
      </c>
      <c r="N17" s="40">
        <v>28.6</v>
      </c>
      <c r="O17" s="41">
        <v>21500</v>
      </c>
      <c r="P17" s="42">
        <v>23</v>
      </c>
      <c r="Q17" s="42">
        <v>204</v>
      </c>
      <c r="R17" s="43" t="s">
        <v>79</v>
      </c>
      <c r="S17" s="37"/>
      <c r="T17" s="47" t="s">
        <v>63</v>
      </c>
    </row>
    <row r="18" spans="1:20" ht="20.100000000000001" customHeight="1" thickBot="1">
      <c r="A18" s="156"/>
      <c r="B18" s="158"/>
      <c r="C18" s="154"/>
      <c r="D18" s="148"/>
      <c r="E18" s="44" t="s">
        <v>94</v>
      </c>
      <c r="F18" s="148"/>
      <c r="G18" s="150"/>
      <c r="H18" s="152"/>
      <c r="I18" s="44">
        <v>0.44</v>
      </c>
      <c r="J18" s="51" t="s">
        <v>62</v>
      </c>
      <c r="K18" s="50" t="s">
        <v>62</v>
      </c>
      <c r="L18" s="50" t="s">
        <v>62</v>
      </c>
      <c r="M18" s="50">
        <v>26.9</v>
      </c>
      <c r="N18" s="52">
        <v>28.2</v>
      </c>
      <c r="O18" s="53" t="s">
        <v>62</v>
      </c>
      <c r="P18" s="51" t="s">
        <v>62</v>
      </c>
      <c r="Q18" s="51" t="s">
        <v>62</v>
      </c>
      <c r="R18" s="54" t="s">
        <v>79</v>
      </c>
      <c r="S18" s="45"/>
      <c r="T18" s="48" t="s">
        <v>63</v>
      </c>
    </row>
    <row r="19" spans="1:20" ht="20.100000000000001" customHeight="1">
      <c r="A19" s="155">
        <v>2</v>
      </c>
      <c r="B19" s="157"/>
      <c r="C19" s="153"/>
      <c r="D19" s="147"/>
      <c r="E19" s="37"/>
      <c r="F19" s="147"/>
      <c r="G19" s="149"/>
      <c r="H19" s="151"/>
      <c r="I19" s="38"/>
      <c r="J19" s="39"/>
      <c r="K19" s="39"/>
      <c r="L19" s="40"/>
      <c r="M19" s="39"/>
      <c r="N19" s="40"/>
      <c r="O19" s="41"/>
      <c r="P19" s="42"/>
      <c r="Q19" s="42"/>
      <c r="R19" s="43"/>
      <c r="S19" s="37"/>
      <c r="T19" s="47"/>
    </row>
    <row r="20" spans="1:20" ht="20.100000000000001" customHeight="1" thickBot="1">
      <c r="A20" s="156"/>
      <c r="B20" s="158"/>
      <c r="C20" s="154"/>
      <c r="D20" s="148"/>
      <c r="E20" s="44"/>
      <c r="F20" s="148"/>
      <c r="G20" s="150"/>
      <c r="H20" s="152"/>
      <c r="I20" s="44"/>
      <c r="J20" s="51"/>
      <c r="K20" s="50"/>
      <c r="L20" s="50"/>
      <c r="M20" s="50"/>
      <c r="N20" s="52"/>
      <c r="O20" s="53"/>
      <c r="P20" s="51"/>
      <c r="Q20" s="51"/>
      <c r="R20" s="54"/>
      <c r="S20" s="45"/>
      <c r="T20" s="48"/>
    </row>
    <row r="21" spans="1:20" ht="20.100000000000001" customHeight="1"/>
    <row r="22" spans="1:20" ht="20.100000000000001" customHeight="1"/>
    <row r="23" spans="1:20" ht="20.100000000000001" customHeight="1"/>
    <row r="24" spans="1:20" ht="20.100000000000001" customHeight="1"/>
    <row r="25" spans="1:20" ht="20.100000000000001" customHeight="1">
      <c r="H25"/>
    </row>
    <row r="26" spans="1:20" ht="20.100000000000001" customHeight="1"/>
    <row r="27" spans="1:20" ht="20.100000000000001" customHeight="1"/>
    <row r="28" spans="1:20" ht="20.100000000000001" customHeight="1"/>
    <row r="29" spans="1:20" ht="20.100000000000001" customHeight="1"/>
    <row r="30" spans="1:20" ht="20.100000000000001" customHeight="1"/>
    <row r="31" spans="1:20" ht="20.100000000000001" customHeight="1"/>
    <row r="32" spans="1:20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spans="32:32" ht="20.100000000000001" customHeight="1"/>
    <row r="338" spans="32:32" ht="20.100000000000001" customHeight="1"/>
    <row r="339" spans="32:32" ht="20.100000000000001" customHeight="1"/>
    <row r="340" spans="32:32" ht="20.100000000000001" customHeight="1"/>
    <row r="341" spans="32:32" ht="20.100000000000001" customHeight="1"/>
    <row r="342" spans="32:32" ht="20.100000000000001" customHeight="1"/>
    <row r="343" spans="32:32" ht="20.100000000000001" customHeight="1">
      <c r="AF343" s="1" t="s">
        <v>39</v>
      </c>
    </row>
  </sheetData>
  <autoFilter ref="A12:T18" xr:uid="{2023D5D9-0A37-4427-912B-90F76B223594}"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2" showButton="0"/>
    <filterColumn colId="15" showButton="0"/>
  </autoFilter>
  <mergeCells count="44">
    <mergeCell ref="H19:H20"/>
    <mergeCell ref="A19:A20"/>
    <mergeCell ref="B19:B20"/>
    <mergeCell ref="C19:C20"/>
    <mergeCell ref="D19:D20"/>
    <mergeCell ref="F19:F20"/>
    <mergeCell ref="G19:G20"/>
    <mergeCell ref="G17:G18"/>
    <mergeCell ref="H17:H18"/>
    <mergeCell ref="A12:A16"/>
    <mergeCell ref="B12:B16"/>
    <mergeCell ref="C12:C16"/>
    <mergeCell ref="D12:D16"/>
    <mergeCell ref="E12:E16"/>
    <mergeCell ref="A17:A18"/>
    <mergeCell ref="B17:B18"/>
    <mergeCell ref="C17:C18"/>
    <mergeCell ref="D17:D18"/>
    <mergeCell ref="F17:F18"/>
    <mergeCell ref="I12:N12"/>
    <mergeCell ref="P12:Q12"/>
    <mergeCell ref="R12:R16"/>
    <mergeCell ref="S12:S16"/>
    <mergeCell ref="F14:F16"/>
    <mergeCell ref="G14:G16"/>
    <mergeCell ref="H14:H16"/>
    <mergeCell ref="I14:M14"/>
    <mergeCell ref="P14:Q14"/>
    <mergeCell ref="F12:H13"/>
    <mergeCell ref="I15:Q15"/>
    <mergeCell ref="H10:T10"/>
    <mergeCell ref="A1:D2"/>
    <mergeCell ref="E1:U2"/>
    <mergeCell ref="A3:C4"/>
    <mergeCell ref="D3:E4"/>
    <mergeCell ref="F3:H4"/>
    <mergeCell ref="I3:L4"/>
    <mergeCell ref="M3:R4"/>
    <mergeCell ref="S3:T4"/>
    <mergeCell ref="D5:T5"/>
    <mergeCell ref="D6:T6"/>
    <mergeCell ref="A7:T7"/>
    <mergeCell ref="H8:T8"/>
    <mergeCell ref="H9:T9"/>
  </mergeCells>
  <conditionalFormatting sqref="I17:I20">
    <cfRule type="cellIs" dxfId="245" priority="7" operator="lessThan">
      <formula>0.254</formula>
    </cfRule>
  </conditionalFormatting>
  <conditionalFormatting sqref="J1:J16 J21:J1048576">
    <cfRule type="cellIs" dxfId="244" priority="24" operator="between">
      <formula>0</formula>
      <formula>1.5</formula>
    </cfRule>
  </conditionalFormatting>
  <conditionalFormatting sqref="K17:K20">
    <cfRule type="cellIs" dxfId="243" priority="6" operator="lessThan">
      <formula>8</formula>
    </cfRule>
  </conditionalFormatting>
  <conditionalFormatting sqref="K1:L16 K21:L1048576">
    <cfRule type="cellIs" dxfId="242" priority="27" operator="between">
      <formula>0</formula>
      <formula>7.5</formula>
    </cfRule>
  </conditionalFormatting>
  <conditionalFormatting sqref="L17:L20">
    <cfRule type="cellIs" dxfId="241" priority="5" operator="lessThan">
      <formula>10</formula>
    </cfRule>
  </conditionalFormatting>
  <conditionalFormatting sqref="M1:M16 M21:M1048576">
    <cfRule type="cellIs" dxfId="240" priority="23" operator="between">
      <formula>0</formula>
      <formula>16.5</formula>
    </cfRule>
  </conditionalFormatting>
  <conditionalFormatting sqref="M17:N20">
    <cfRule type="cellIs" dxfId="239" priority="2" operator="lessThan">
      <formula>20</formula>
    </cfRule>
  </conditionalFormatting>
  <conditionalFormatting sqref="N1:N16 N21:N1048576">
    <cfRule type="cellIs" dxfId="238" priority="22" operator="between">
      <formula>0</formula>
      <formula>25</formula>
    </cfRule>
  </conditionalFormatting>
  <conditionalFormatting sqref="O1:O16 O21:O1048576">
    <cfRule type="cellIs" priority="21" operator="between">
      <formula>0</formula>
      <formula>8000</formula>
    </cfRule>
  </conditionalFormatting>
  <conditionalFormatting sqref="O17:O20">
    <cfRule type="cellIs" dxfId="237" priority="1" operator="lessThan">
      <formula>10000</formula>
    </cfRule>
  </conditionalFormatting>
  <conditionalFormatting sqref="P1:P16 P21:P1048576">
    <cfRule type="cellIs" dxfId="236" priority="20" operator="between">
      <formula>0</formula>
      <formula>19</formula>
    </cfRule>
  </conditionalFormatting>
  <conditionalFormatting sqref="Q1:Q16 Q21:Q1048576">
    <cfRule type="cellIs" dxfId="235" priority="19" operator="between">
      <formula>0</formula>
      <formula>99</formula>
    </cfRule>
  </conditionalFormatting>
  <conditionalFormatting sqref="R1:R1048576">
    <cfRule type="cellIs" dxfId="234" priority="17" operator="between">
      <formula>"FAIL"</formula>
      <formula>"FAIL"</formula>
    </cfRule>
    <cfRule type="cellIs" dxfId="233" priority="18" operator="between">
      <formula>"PASS"</formula>
      <formula>"PASS"</formula>
    </cfRule>
  </conditionalFormatting>
  <printOptions horizontalCentered="1"/>
  <pageMargins left="0.19685039370078741" right="0.19685039370078741" top="0.19685039370078741" bottom="0.19685039370078741" header="0.11811023622047245" footer="0.15748031496062992"/>
  <pageSetup scale="31" orientation="landscape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C3B4-10DF-4BFF-A35A-74930D89CB4C}">
  <dimension ref="A1:AF343"/>
  <sheetViews>
    <sheetView view="pageBreakPreview" zoomScale="80" zoomScaleNormal="100" zoomScaleSheetLayoutView="80" workbookViewId="0">
      <pane ySplit="16" topLeftCell="A17" activePane="bottomLeft" state="frozen"/>
      <selection pane="bottomLeft" activeCell="Q17" sqref="Q17"/>
    </sheetView>
  </sheetViews>
  <sheetFormatPr baseColWidth="10" defaultColWidth="9.33203125" defaultRowHeight="10.199999999999999"/>
  <cols>
    <col min="1" max="1" width="5.33203125" style="1" customWidth="1"/>
    <col min="2" max="2" width="16.6640625" style="1" customWidth="1"/>
    <col min="3" max="3" width="17.6640625" style="1" customWidth="1"/>
    <col min="4" max="4" width="14.6640625" style="1" customWidth="1"/>
    <col min="5" max="5" width="11" style="1" customWidth="1"/>
    <col min="6" max="6" width="11.33203125" style="1" customWidth="1"/>
    <col min="7" max="7" width="6.6640625" style="1" customWidth="1"/>
    <col min="8" max="8" width="11.33203125" style="1" customWidth="1"/>
    <col min="9" max="9" width="8.44140625" style="1" customWidth="1"/>
    <col min="10" max="10" width="5.33203125" style="1" customWidth="1"/>
    <col min="11" max="11" width="6.109375" style="1" customWidth="1"/>
    <col min="12" max="12" width="11.6640625" style="1" customWidth="1"/>
    <col min="13" max="13" width="9" style="1" customWidth="1"/>
    <col min="14" max="14" width="5.33203125" style="1" customWidth="1"/>
    <col min="15" max="15" width="10.88671875" style="1" customWidth="1"/>
    <col min="16" max="16" width="7.33203125" style="1" bestFit="1" customWidth="1"/>
    <col min="17" max="17" width="9.44140625" style="1" bestFit="1" customWidth="1"/>
    <col min="18" max="18" width="9.88671875" style="1" customWidth="1"/>
    <col min="19" max="19" width="14.88671875" style="46" customWidth="1"/>
    <col min="20" max="20" width="33" style="46" customWidth="1"/>
    <col min="21" max="16384" width="9.33203125" style="1"/>
  </cols>
  <sheetData>
    <row r="1" spans="1:32" ht="21" customHeight="1">
      <c r="A1" s="88" t="s">
        <v>40</v>
      </c>
      <c r="B1" s="89"/>
      <c r="C1" s="89"/>
      <c r="D1" s="90"/>
      <c r="E1" s="94" t="s">
        <v>0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6"/>
    </row>
    <row r="2" spans="1:32" ht="29.25" customHeight="1" thickBot="1">
      <c r="A2" s="91"/>
      <c r="B2" s="92"/>
      <c r="C2" s="92"/>
      <c r="D2" s="93"/>
      <c r="E2" s="97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9"/>
    </row>
    <row r="3" spans="1:32" ht="22.5" customHeight="1">
      <c r="A3" s="100" t="s">
        <v>41</v>
      </c>
      <c r="B3" s="101"/>
      <c r="C3" s="102"/>
      <c r="D3" s="100" t="s">
        <v>42</v>
      </c>
      <c r="E3" s="102"/>
      <c r="F3" s="100" t="s">
        <v>43</v>
      </c>
      <c r="G3" s="101"/>
      <c r="H3" s="102"/>
      <c r="I3" s="100" t="s">
        <v>44</v>
      </c>
      <c r="J3" s="101"/>
      <c r="K3" s="101"/>
      <c r="L3" s="102"/>
      <c r="M3" s="100" t="s">
        <v>1</v>
      </c>
      <c r="N3" s="101"/>
      <c r="O3" s="101"/>
      <c r="P3" s="101"/>
      <c r="Q3" s="101"/>
      <c r="R3" s="101"/>
      <c r="S3" s="106" t="s">
        <v>2</v>
      </c>
      <c r="T3" s="107"/>
    </row>
    <row r="4" spans="1:32" ht="23.25" customHeight="1" thickBot="1">
      <c r="A4" s="103"/>
      <c r="B4" s="104"/>
      <c r="C4" s="105"/>
      <c r="D4" s="103"/>
      <c r="E4" s="105"/>
      <c r="F4" s="103"/>
      <c r="G4" s="104"/>
      <c r="H4" s="105"/>
      <c r="I4" s="103"/>
      <c r="J4" s="104"/>
      <c r="K4" s="104"/>
      <c r="L4" s="105"/>
      <c r="M4" s="103"/>
      <c r="N4" s="104"/>
      <c r="O4" s="104"/>
      <c r="P4" s="104"/>
      <c r="Q4" s="104"/>
      <c r="R4" s="104"/>
      <c r="S4" s="108"/>
      <c r="T4" s="109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5.75" customHeight="1">
      <c r="A5" s="3"/>
      <c r="B5" s="3"/>
      <c r="C5" s="3"/>
      <c r="D5" s="110" t="s">
        <v>3</v>
      </c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</row>
    <row r="6" spans="1:32" ht="9.75" customHeight="1" thickBot="1">
      <c r="A6" s="4"/>
      <c r="B6" s="4"/>
      <c r="C6" s="4"/>
      <c r="D6" s="111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</row>
    <row r="7" spans="1:32" ht="16.5" customHeight="1" thickBot="1">
      <c r="A7" s="113" t="s">
        <v>4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</row>
    <row r="8" spans="1:32" ht="11.25" customHeight="1">
      <c r="A8" s="5"/>
      <c r="B8" s="6"/>
      <c r="C8" s="6"/>
      <c r="D8" s="7"/>
      <c r="E8" s="7"/>
      <c r="F8" s="7"/>
      <c r="G8" s="8"/>
      <c r="H8" s="114" t="s">
        <v>5</v>
      </c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6"/>
    </row>
    <row r="9" spans="1:32" ht="12" customHeight="1">
      <c r="A9" s="9"/>
      <c r="B9" s="49"/>
      <c r="C9" s="10" t="s">
        <v>108</v>
      </c>
      <c r="D9" s="10"/>
      <c r="E9" s="10"/>
      <c r="F9" s="10"/>
      <c r="G9" s="11"/>
      <c r="H9" s="85" t="s">
        <v>6</v>
      </c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7"/>
    </row>
    <row r="10" spans="1:32" ht="12" customHeight="1">
      <c r="A10" s="9"/>
      <c r="B10" s="49"/>
      <c r="C10" s="10" t="s">
        <v>109</v>
      </c>
      <c r="D10" s="12"/>
      <c r="E10" s="13"/>
      <c r="F10" s="13"/>
      <c r="G10" s="14"/>
      <c r="H10" s="85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7"/>
    </row>
    <row r="11" spans="1:32" ht="10.8" thickBot="1">
      <c r="A11" s="15"/>
      <c r="B11" s="19"/>
      <c r="C11" s="16"/>
      <c r="D11" s="17"/>
      <c r="E11" s="16"/>
      <c r="F11" s="16"/>
      <c r="G11" s="18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20"/>
    </row>
    <row r="12" spans="1:32" ht="34.5" customHeight="1" thickBot="1">
      <c r="A12" s="159" t="s">
        <v>7</v>
      </c>
      <c r="B12" s="117" t="s">
        <v>61</v>
      </c>
      <c r="C12" s="117" t="s">
        <v>77</v>
      </c>
      <c r="D12" s="117" t="s">
        <v>8</v>
      </c>
      <c r="E12" s="117" t="s">
        <v>9</v>
      </c>
      <c r="F12" s="119" t="s">
        <v>10</v>
      </c>
      <c r="G12" s="120"/>
      <c r="H12" s="121"/>
      <c r="I12" s="125" t="s">
        <v>11</v>
      </c>
      <c r="J12" s="126"/>
      <c r="K12" s="126"/>
      <c r="L12" s="126"/>
      <c r="M12" s="126"/>
      <c r="N12" s="127"/>
      <c r="O12" s="21" t="s">
        <v>12</v>
      </c>
      <c r="P12" s="128" t="s">
        <v>13</v>
      </c>
      <c r="Q12" s="129"/>
      <c r="R12" s="100" t="s">
        <v>14</v>
      </c>
      <c r="S12" s="117" t="s">
        <v>15</v>
      </c>
      <c r="T12" s="21"/>
    </row>
    <row r="13" spans="1:32" ht="23.25" customHeight="1" thickBot="1">
      <c r="A13" s="160"/>
      <c r="B13" s="118"/>
      <c r="C13" s="118"/>
      <c r="D13" s="118"/>
      <c r="E13" s="118"/>
      <c r="F13" s="122"/>
      <c r="G13" s="123"/>
      <c r="H13" s="124"/>
      <c r="I13" s="23" t="s">
        <v>16</v>
      </c>
      <c r="J13" s="24" t="s">
        <v>17</v>
      </c>
      <c r="K13" s="24" t="s">
        <v>18</v>
      </c>
      <c r="L13" s="24" t="s">
        <v>19</v>
      </c>
      <c r="M13" s="24" t="s">
        <v>20</v>
      </c>
      <c r="N13" s="25" t="s">
        <v>21</v>
      </c>
      <c r="O13" s="22" t="s">
        <v>22</v>
      </c>
      <c r="P13" s="26" t="s">
        <v>23</v>
      </c>
      <c r="Q13" s="55" t="s">
        <v>24</v>
      </c>
      <c r="R13" s="132"/>
      <c r="S13" s="118"/>
      <c r="T13" s="22"/>
      <c r="Y13" s="1" t="s">
        <v>25</v>
      </c>
    </row>
    <row r="14" spans="1:32" ht="22.5" customHeight="1">
      <c r="A14" s="160"/>
      <c r="B14" s="118"/>
      <c r="C14" s="118"/>
      <c r="D14" s="118"/>
      <c r="E14" s="118"/>
      <c r="F14" s="133" t="s">
        <v>26</v>
      </c>
      <c r="G14" s="135" t="s">
        <v>27</v>
      </c>
      <c r="H14" s="137" t="s">
        <v>85</v>
      </c>
      <c r="I14" s="139" t="s">
        <v>28</v>
      </c>
      <c r="J14" s="140"/>
      <c r="K14" s="140"/>
      <c r="L14" s="140"/>
      <c r="M14" s="141"/>
      <c r="N14" s="28" t="s">
        <v>28</v>
      </c>
      <c r="O14" s="29" t="s">
        <v>29</v>
      </c>
      <c r="P14" s="142" t="s">
        <v>30</v>
      </c>
      <c r="Q14" s="143"/>
      <c r="R14" s="132"/>
      <c r="S14" s="118"/>
      <c r="T14" s="22" t="s">
        <v>31</v>
      </c>
    </row>
    <row r="15" spans="1:32" ht="22.5" customHeight="1">
      <c r="A15" s="160"/>
      <c r="B15" s="118"/>
      <c r="C15" s="118"/>
      <c r="D15" s="118"/>
      <c r="E15" s="118"/>
      <c r="F15" s="134"/>
      <c r="G15" s="136"/>
      <c r="H15" s="138"/>
      <c r="I15" s="144" t="s">
        <v>32</v>
      </c>
      <c r="J15" s="145"/>
      <c r="K15" s="145"/>
      <c r="L15" s="145"/>
      <c r="M15" s="145"/>
      <c r="N15" s="145"/>
      <c r="O15" s="145"/>
      <c r="P15" s="145"/>
      <c r="Q15" s="146"/>
      <c r="R15" s="132"/>
      <c r="S15" s="118"/>
      <c r="T15" s="22"/>
    </row>
    <row r="16" spans="1:32" ht="36" customHeight="1" thickBot="1">
      <c r="A16" s="160"/>
      <c r="B16" s="118"/>
      <c r="C16" s="118"/>
      <c r="D16" s="118"/>
      <c r="E16" s="118"/>
      <c r="F16" s="134"/>
      <c r="G16" s="136"/>
      <c r="H16" s="138"/>
      <c r="I16" s="30" t="s">
        <v>156</v>
      </c>
      <c r="J16" s="31" t="s">
        <v>51</v>
      </c>
      <c r="K16" s="32" t="s">
        <v>67</v>
      </c>
      <c r="L16" s="32" t="s">
        <v>103</v>
      </c>
      <c r="M16" s="32" t="s">
        <v>155</v>
      </c>
      <c r="N16" s="33" t="s">
        <v>54</v>
      </c>
      <c r="O16" s="34" t="s">
        <v>55</v>
      </c>
      <c r="P16" s="35" t="s">
        <v>158</v>
      </c>
      <c r="Q16" s="32" t="s">
        <v>157</v>
      </c>
      <c r="R16" s="132"/>
      <c r="S16" s="118"/>
      <c r="T16" s="22"/>
    </row>
    <row r="17" spans="1:20" ht="20.100000000000001" customHeight="1">
      <c r="A17" s="155">
        <v>1</v>
      </c>
      <c r="B17" s="157" t="s">
        <v>99</v>
      </c>
      <c r="C17" s="153" t="s">
        <v>100</v>
      </c>
      <c r="D17" s="147">
        <v>45876</v>
      </c>
      <c r="E17" s="37" t="s">
        <v>101</v>
      </c>
      <c r="F17" s="147">
        <v>45875</v>
      </c>
      <c r="G17" s="149">
        <v>11</v>
      </c>
      <c r="H17" s="151">
        <v>2521700119</v>
      </c>
      <c r="I17" s="38">
        <v>0.42</v>
      </c>
      <c r="J17" s="39" t="s">
        <v>62</v>
      </c>
      <c r="K17" s="39" t="s">
        <v>62</v>
      </c>
      <c r="L17" s="40" t="s">
        <v>62</v>
      </c>
      <c r="M17" s="39">
        <v>21.9</v>
      </c>
      <c r="N17" s="40">
        <v>22.4</v>
      </c>
      <c r="O17" s="41" t="s">
        <v>62</v>
      </c>
      <c r="P17" s="42" t="s">
        <v>62</v>
      </c>
      <c r="Q17" s="42" t="s">
        <v>62</v>
      </c>
      <c r="R17" s="43" t="s">
        <v>38</v>
      </c>
      <c r="S17" s="37"/>
      <c r="T17" s="47" t="s">
        <v>80</v>
      </c>
    </row>
    <row r="18" spans="1:20" ht="20.100000000000001" customHeight="1" thickBot="1">
      <c r="A18" s="156"/>
      <c r="B18" s="158"/>
      <c r="C18" s="154"/>
      <c r="D18" s="148"/>
      <c r="E18" s="44" t="s">
        <v>102</v>
      </c>
      <c r="F18" s="148"/>
      <c r="G18" s="150"/>
      <c r="H18" s="152"/>
      <c r="I18" s="44">
        <v>0.4</v>
      </c>
      <c r="J18" s="51">
        <v>1.01</v>
      </c>
      <c r="K18" s="50">
        <v>7.69</v>
      </c>
      <c r="L18" s="50">
        <v>7.7</v>
      </c>
      <c r="M18" s="50">
        <v>17.399999999999999</v>
      </c>
      <c r="N18" s="52">
        <v>22.7</v>
      </c>
      <c r="O18" s="53">
        <v>28300</v>
      </c>
      <c r="P18" s="51">
        <v>62</v>
      </c>
      <c r="Q18" s="51">
        <v>190</v>
      </c>
      <c r="R18" s="54" t="s">
        <v>38</v>
      </c>
      <c r="S18" s="45"/>
      <c r="T18" s="48" t="s">
        <v>80</v>
      </c>
    </row>
    <row r="19" spans="1:20" ht="20.100000000000001" customHeight="1">
      <c r="A19" s="155"/>
      <c r="B19" s="157"/>
      <c r="C19" s="153"/>
      <c r="D19" s="147"/>
      <c r="E19" s="37"/>
      <c r="F19" s="147"/>
      <c r="G19" s="149"/>
      <c r="H19" s="151"/>
      <c r="I19" s="38"/>
      <c r="J19" s="39"/>
      <c r="K19" s="39"/>
      <c r="L19" s="40"/>
      <c r="M19" s="39"/>
      <c r="N19" s="40"/>
      <c r="O19" s="41"/>
      <c r="P19" s="42"/>
      <c r="Q19" s="42"/>
      <c r="R19" s="43"/>
      <c r="S19" s="37"/>
      <c r="T19" s="47"/>
    </row>
    <row r="20" spans="1:20" ht="20.100000000000001" customHeight="1" thickBot="1">
      <c r="A20" s="156"/>
      <c r="B20" s="158"/>
      <c r="C20" s="154"/>
      <c r="D20" s="148"/>
      <c r="E20" s="44"/>
      <c r="F20" s="148"/>
      <c r="G20" s="150"/>
      <c r="H20" s="152"/>
      <c r="I20" s="44"/>
      <c r="J20" s="51"/>
      <c r="K20" s="50"/>
      <c r="L20" s="50"/>
      <c r="M20" s="50"/>
      <c r="N20" s="52"/>
      <c r="O20" s="53"/>
      <c r="P20" s="51"/>
      <c r="Q20" s="51"/>
      <c r="R20" s="54"/>
      <c r="S20" s="45"/>
      <c r="T20" s="48"/>
    </row>
    <row r="21" spans="1:20" ht="20.100000000000001" customHeight="1"/>
    <row r="22" spans="1:20" ht="20.100000000000001" customHeight="1"/>
    <row r="23" spans="1:20" ht="20.100000000000001" customHeight="1"/>
    <row r="24" spans="1:20" ht="20.100000000000001" customHeight="1"/>
    <row r="25" spans="1:20" ht="20.100000000000001" customHeight="1">
      <c r="H25"/>
    </row>
    <row r="26" spans="1:20" ht="20.100000000000001" customHeight="1"/>
    <row r="27" spans="1:20" ht="20.100000000000001" customHeight="1"/>
    <row r="28" spans="1:20" ht="20.100000000000001" customHeight="1"/>
    <row r="29" spans="1:20" ht="20.100000000000001" customHeight="1"/>
    <row r="30" spans="1:20" ht="20.100000000000001" customHeight="1"/>
    <row r="31" spans="1:20" ht="20.100000000000001" customHeight="1"/>
    <row r="32" spans="1:20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spans="32:32" ht="20.100000000000001" customHeight="1"/>
    <row r="338" spans="32:32" ht="20.100000000000001" customHeight="1"/>
    <row r="339" spans="32:32" ht="20.100000000000001" customHeight="1"/>
    <row r="340" spans="32:32" ht="20.100000000000001" customHeight="1"/>
    <row r="341" spans="32:32" ht="20.100000000000001" customHeight="1"/>
    <row r="342" spans="32:32" ht="20.100000000000001" customHeight="1"/>
    <row r="343" spans="32:32" ht="20.100000000000001" customHeight="1">
      <c r="AF343" s="1" t="s">
        <v>39</v>
      </c>
    </row>
  </sheetData>
  <autoFilter ref="A12:T18" xr:uid="{2023D5D9-0A37-4427-912B-90F76B223594}"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2" showButton="0"/>
    <filterColumn colId="15" showButton="0"/>
  </autoFilter>
  <mergeCells count="44">
    <mergeCell ref="H19:H20"/>
    <mergeCell ref="A19:A20"/>
    <mergeCell ref="B19:B20"/>
    <mergeCell ref="C19:C20"/>
    <mergeCell ref="D19:D20"/>
    <mergeCell ref="F19:F20"/>
    <mergeCell ref="G19:G20"/>
    <mergeCell ref="G17:G18"/>
    <mergeCell ref="H17:H18"/>
    <mergeCell ref="A12:A16"/>
    <mergeCell ref="B12:B16"/>
    <mergeCell ref="C12:C16"/>
    <mergeCell ref="D12:D16"/>
    <mergeCell ref="E12:E16"/>
    <mergeCell ref="A17:A18"/>
    <mergeCell ref="B17:B18"/>
    <mergeCell ref="C17:C18"/>
    <mergeCell ref="D17:D18"/>
    <mergeCell ref="F17:F18"/>
    <mergeCell ref="I12:N12"/>
    <mergeCell ref="P12:Q12"/>
    <mergeCell ref="R12:R16"/>
    <mergeCell ref="S12:S16"/>
    <mergeCell ref="F14:F16"/>
    <mergeCell ref="G14:G16"/>
    <mergeCell ref="H14:H16"/>
    <mergeCell ref="I14:M14"/>
    <mergeCell ref="P14:Q14"/>
    <mergeCell ref="F12:H13"/>
    <mergeCell ref="I15:Q15"/>
    <mergeCell ref="H10:T10"/>
    <mergeCell ref="A1:D2"/>
    <mergeCell ref="E1:U2"/>
    <mergeCell ref="A3:C4"/>
    <mergeCell ref="D3:E4"/>
    <mergeCell ref="F3:H4"/>
    <mergeCell ref="I3:L4"/>
    <mergeCell ref="M3:R4"/>
    <mergeCell ref="S3:T4"/>
    <mergeCell ref="D5:T5"/>
    <mergeCell ref="D6:T6"/>
    <mergeCell ref="A7:T7"/>
    <mergeCell ref="H8:T8"/>
    <mergeCell ref="H9:T9"/>
  </mergeCells>
  <conditionalFormatting sqref="I17:I20">
    <cfRule type="cellIs" dxfId="232" priority="1" operator="lessThan">
      <formula>0.25</formula>
    </cfRule>
  </conditionalFormatting>
  <conditionalFormatting sqref="J1:J16 J21:J1048576">
    <cfRule type="cellIs" dxfId="231" priority="25" operator="between">
      <formula>0</formula>
      <formula>1.5</formula>
    </cfRule>
  </conditionalFormatting>
  <conditionalFormatting sqref="K1:L16 K21:L1048576">
    <cfRule type="cellIs" dxfId="230" priority="28" operator="between">
      <formula>0</formula>
      <formula>7.5</formula>
    </cfRule>
  </conditionalFormatting>
  <conditionalFormatting sqref="M1:M16 M21:M1048576">
    <cfRule type="cellIs" dxfId="229" priority="24" operator="between">
      <formula>0</formula>
      <formula>16.5</formula>
    </cfRule>
  </conditionalFormatting>
  <conditionalFormatting sqref="M17:M20">
    <cfRule type="cellIs" dxfId="228" priority="2" operator="lessThan">
      <formula>20</formula>
    </cfRule>
  </conditionalFormatting>
  <conditionalFormatting sqref="N1:N16 N21:N1048576">
    <cfRule type="cellIs" dxfId="227" priority="23" operator="between">
      <formula>0</formula>
      <formula>25</formula>
    </cfRule>
  </conditionalFormatting>
  <conditionalFormatting sqref="N17:N20">
    <cfRule type="cellIs" dxfId="226" priority="3" operator="lessThan">
      <formula>15</formula>
    </cfRule>
  </conditionalFormatting>
  <conditionalFormatting sqref="O1:O16 O21:O1048576">
    <cfRule type="cellIs" priority="22" operator="between">
      <formula>0</formula>
      <formula>8000</formula>
    </cfRule>
  </conditionalFormatting>
  <conditionalFormatting sqref="O17:O20">
    <cfRule type="cellIs" dxfId="225" priority="4" operator="lessThan">
      <formula>10000</formula>
    </cfRule>
  </conditionalFormatting>
  <conditionalFormatting sqref="P1:P16 P21:P1048576">
    <cfRule type="cellIs" dxfId="224" priority="21" operator="between">
      <formula>0</formula>
      <formula>19</formula>
    </cfRule>
  </conditionalFormatting>
  <conditionalFormatting sqref="Q1:Q16 Q21:Q1048576">
    <cfRule type="cellIs" dxfId="223" priority="20" operator="between">
      <formula>0</formula>
      <formula>99</formula>
    </cfRule>
  </conditionalFormatting>
  <conditionalFormatting sqref="R1:R1048576">
    <cfRule type="cellIs" dxfId="222" priority="18" operator="between">
      <formula>"FAIL"</formula>
      <formula>"FAIL"</formula>
    </cfRule>
    <cfRule type="cellIs" dxfId="221" priority="19" operator="between">
      <formula>"PASS"</formula>
      <formula>"PASS"</formula>
    </cfRule>
  </conditionalFormatting>
  <printOptions horizontalCentered="1"/>
  <pageMargins left="0.19685039370078741" right="0.19685039370078741" top="0.19685039370078741" bottom="0.19685039370078741" header="0.11811023622047245" footer="0.15748031496062992"/>
  <pageSetup scale="31" orientation="landscape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7FC9D-78EB-4002-BB5F-EB609DEA977A}">
  <dimension ref="A1:AF343"/>
  <sheetViews>
    <sheetView view="pageBreakPreview" zoomScale="80" zoomScaleNormal="100" zoomScaleSheetLayoutView="80" workbookViewId="0">
      <pane ySplit="16" topLeftCell="A17" activePane="bottomLeft" state="frozen"/>
      <selection pane="bottomLeft" activeCell="Q25" sqref="Q25"/>
    </sheetView>
  </sheetViews>
  <sheetFormatPr baseColWidth="10" defaultColWidth="9.33203125" defaultRowHeight="10.199999999999999"/>
  <cols>
    <col min="1" max="1" width="5.33203125" style="1" customWidth="1"/>
    <col min="2" max="2" width="16.6640625" style="1" customWidth="1"/>
    <col min="3" max="3" width="18.5546875" style="1" customWidth="1"/>
    <col min="4" max="4" width="14.6640625" style="1" customWidth="1"/>
    <col min="5" max="5" width="11" style="1" customWidth="1"/>
    <col min="6" max="6" width="11.33203125" style="1" customWidth="1"/>
    <col min="7" max="7" width="6.6640625" style="1" customWidth="1"/>
    <col min="8" max="8" width="11.33203125" style="1" customWidth="1"/>
    <col min="9" max="9" width="8.44140625" style="1" customWidth="1"/>
    <col min="10" max="10" width="5.33203125" style="1" customWidth="1"/>
    <col min="11" max="11" width="6.109375" style="1" customWidth="1"/>
    <col min="12" max="12" width="11.6640625" style="1" customWidth="1"/>
    <col min="13" max="13" width="9" style="1" customWidth="1"/>
    <col min="14" max="14" width="7.33203125" style="1" bestFit="1" customWidth="1"/>
    <col min="15" max="15" width="10.88671875" style="1" customWidth="1"/>
    <col min="16" max="16" width="6.6640625" style="1" bestFit="1" customWidth="1"/>
    <col min="17" max="17" width="8.33203125" style="1" bestFit="1" customWidth="1"/>
    <col min="18" max="18" width="9.88671875" style="1" customWidth="1"/>
    <col min="19" max="19" width="14.88671875" style="46" customWidth="1"/>
    <col min="20" max="20" width="33" style="46" customWidth="1"/>
    <col min="21" max="16384" width="9.33203125" style="1"/>
  </cols>
  <sheetData>
    <row r="1" spans="1:32" ht="21" customHeight="1">
      <c r="A1" s="88" t="s">
        <v>40</v>
      </c>
      <c r="B1" s="89"/>
      <c r="C1" s="89"/>
      <c r="D1" s="90"/>
      <c r="E1" s="94" t="s">
        <v>0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6"/>
    </row>
    <row r="2" spans="1:32" ht="29.25" customHeight="1" thickBot="1">
      <c r="A2" s="91"/>
      <c r="B2" s="92"/>
      <c r="C2" s="92"/>
      <c r="D2" s="93"/>
      <c r="E2" s="97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9"/>
    </row>
    <row r="3" spans="1:32" ht="22.5" customHeight="1">
      <c r="A3" s="100" t="s">
        <v>41</v>
      </c>
      <c r="B3" s="101"/>
      <c r="C3" s="102"/>
      <c r="D3" s="100" t="s">
        <v>42</v>
      </c>
      <c r="E3" s="102"/>
      <c r="F3" s="100" t="s">
        <v>43</v>
      </c>
      <c r="G3" s="101"/>
      <c r="H3" s="102"/>
      <c r="I3" s="100" t="s">
        <v>44</v>
      </c>
      <c r="J3" s="101"/>
      <c r="K3" s="101"/>
      <c r="L3" s="102"/>
      <c r="M3" s="100" t="s">
        <v>1</v>
      </c>
      <c r="N3" s="101"/>
      <c r="O3" s="101"/>
      <c r="P3" s="101"/>
      <c r="Q3" s="101"/>
      <c r="R3" s="101"/>
      <c r="S3" s="106" t="s">
        <v>2</v>
      </c>
      <c r="T3" s="107"/>
    </row>
    <row r="4" spans="1:32" ht="23.25" customHeight="1" thickBot="1">
      <c r="A4" s="103"/>
      <c r="B4" s="104"/>
      <c r="C4" s="105"/>
      <c r="D4" s="103"/>
      <c r="E4" s="105"/>
      <c r="F4" s="103"/>
      <c r="G4" s="104"/>
      <c r="H4" s="105"/>
      <c r="I4" s="103"/>
      <c r="J4" s="104"/>
      <c r="K4" s="104"/>
      <c r="L4" s="105"/>
      <c r="M4" s="103"/>
      <c r="N4" s="104"/>
      <c r="O4" s="104"/>
      <c r="P4" s="104"/>
      <c r="Q4" s="104"/>
      <c r="R4" s="104"/>
      <c r="S4" s="108"/>
      <c r="T4" s="109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5.75" customHeight="1">
      <c r="A5" s="3"/>
      <c r="B5" s="3"/>
      <c r="C5" s="3"/>
      <c r="D5" s="110" t="s">
        <v>3</v>
      </c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</row>
    <row r="6" spans="1:32" ht="9.75" customHeight="1" thickBot="1">
      <c r="A6" s="4"/>
      <c r="B6" s="4"/>
      <c r="C6" s="4"/>
      <c r="D6" s="111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</row>
    <row r="7" spans="1:32" ht="16.5" customHeight="1" thickBot="1">
      <c r="A7" s="113" t="s">
        <v>4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</row>
    <row r="8" spans="1:32" ht="11.25" customHeight="1">
      <c r="A8" s="5"/>
      <c r="B8" s="6"/>
      <c r="C8" s="6"/>
      <c r="D8" s="7"/>
      <c r="E8" s="7"/>
      <c r="F8" s="7"/>
      <c r="G8" s="8"/>
      <c r="H8" s="114" t="s">
        <v>5</v>
      </c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6"/>
    </row>
    <row r="9" spans="1:32" ht="12" customHeight="1">
      <c r="A9" s="9"/>
      <c r="B9" s="49"/>
      <c r="C9" s="10" t="s">
        <v>142</v>
      </c>
      <c r="D9" s="10"/>
      <c r="E9" s="10"/>
      <c r="F9" s="10"/>
      <c r="G9" s="11"/>
      <c r="H9" s="85" t="s">
        <v>6</v>
      </c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7"/>
    </row>
    <row r="10" spans="1:32" ht="12" customHeight="1">
      <c r="A10" s="9"/>
      <c r="B10" s="49"/>
      <c r="C10" s="10" t="s">
        <v>143</v>
      </c>
      <c r="D10" s="12"/>
      <c r="E10" s="13"/>
      <c r="F10" s="13"/>
      <c r="G10" s="14"/>
      <c r="H10" s="85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7"/>
    </row>
    <row r="11" spans="1:32" ht="10.8" thickBot="1">
      <c r="A11" s="15"/>
      <c r="B11" s="19"/>
      <c r="C11" s="16"/>
      <c r="D11" s="17"/>
      <c r="E11" s="16"/>
      <c r="F11" s="16"/>
      <c r="G11" s="18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20"/>
    </row>
    <row r="12" spans="1:32" ht="34.5" customHeight="1" thickBot="1">
      <c r="A12" s="159" t="s">
        <v>7</v>
      </c>
      <c r="B12" s="117" t="s">
        <v>61</v>
      </c>
      <c r="C12" s="117" t="s">
        <v>77</v>
      </c>
      <c r="D12" s="117" t="s">
        <v>8</v>
      </c>
      <c r="E12" s="117" t="s">
        <v>9</v>
      </c>
      <c r="F12" s="119" t="s">
        <v>10</v>
      </c>
      <c r="G12" s="120"/>
      <c r="H12" s="121"/>
      <c r="I12" s="125" t="s">
        <v>11</v>
      </c>
      <c r="J12" s="126"/>
      <c r="K12" s="126"/>
      <c r="L12" s="126"/>
      <c r="M12" s="126"/>
      <c r="N12" s="127"/>
      <c r="O12" s="21" t="s">
        <v>12</v>
      </c>
      <c r="P12" s="128" t="s">
        <v>13</v>
      </c>
      <c r="Q12" s="129"/>
      <c r="R12" s="100" t="s">
        <v>14</v>
      </c>
      <c r="S12" s="117" t="s">
        <v>15</v>
      </c>
      <c r="T12" s="21"/>
    </row>
    <row r="13" spans="1:32" ht="23.25" customHeight="1" thickBot="1">
      <c r="A13" s="160"/>
      <c r="B13" s="118"/>
      <c r="C13" s="118"/>
      <c r="D13" s="118"/>
      <c r="E13" s="118"/>
      <c r="F13" s="122"/>
      <c r="G13" s="123"/>
      <c r="H13" s="124"/>
      <c r="I13" s="23" t="s">
        <v>16</v>
      </c>
      <c r="J13" s="24" t="s">
        <v>17</v>
      </c>
      <c r="K13" s="24" t="s">
        <v>18</v>
      </c>
      <c r="L13" s="24" t="s">
        <v>19</v>
      </c>
      <c r="M13" s="24" t="s">
        <v>20</v>
      </c>
      <c r="N13" s="25" t="s">
        <v>21</v>
      </c>
      <c r="O13" s="22" t="s">
        <v>22</v>
      </c>
      <c r="P13" s="26" t="s">
        <v>23</v>
      </c>
      <c r="Q13" s="65" t="s">
        <v>24</v>
      </c>
      <c r="R13" s="132"/>
      <c r="S13" s="118"/>
      <c r="T13" s="22"/>
      <c r="Y13" s="1" t="s">
        <v>25</v>
      </c>
    </row>
    <row r="14" spans="1:32" ht="22.5" customHeight="1">
      <c r="A14" s="160"/>
      <c r="B14" s="118"/>
      <c r="C14" s="118"/>
      <c r="D14" s="118"/>
      <c r="E14" s="118"/>
      <c r="F14" s="133" t="s">
        <v>26</v>
      </c>
      <c r="G14" s="135" t="s">
        <v>27</v>
      </c>
      <c r="H14" s="137" t="s">
        <v>85</v>
      </c>
      <c r="I14" s="139" t="s">
        <v>28</v>
      </c>
      <c r="J14" s="140"/>
      <c r="K14" s="140"/>
      <c r="L14" s="140"/>
      <c r="M14" s="141"/>
      <c r="N14" s="28" t="s">
        <v>28</v>
      </c>
      <c r="O14" s="29" t="s">
        <v>29</v>
      </c>
      <c r="P14" s="142" t="s">
        <v>30</v>
      </c>
      <c r="Q14" s="143"/>
      <c r="R14" s="132"/>
      <c r="S14" s="118"/>
      <c r="T14" s="22" t="s">
        <v>31</v>
      </c>
    </row>
    <row r="15" spans="1:32" ht="22.5" customHeight="1">
      <c r="A15" s="160"/>
      <c r="B15" s="118"/>
      <c r="C15" s="118"/>
      <c r="D15" s="118"/>
      <c r="E15" s="118"/>
      <c r="F15" s="134"/>
      <c r="G15" s="136"/>
      <c r="H15" s="138"/>
      <c r="I15" s="144" t="s">
        <v>32</v>
      </c>
      <c r="J15" s="145"/>
      <c r="K15" s="145"/>
      <c r="L15" s="145"/>
      <c r="M15" s="145"/>
      <c r="N15" s="145"/>
      <c r="O15" s="145"/>
      <c r="P15" s="145"/>
      <c r="Q15" s="146"/>
      <c r="R15" s="132"/>
      <c r="S15" s="118"/>
      <c r="T15" s="22"/>
    </row>
    <row r="16" spans="1:32" ht="36" customHeight="1" thickBot="1">
      <c r="A16" s="160"/>
      <c r="B16" s="118"/>
      <c r="C16" s="118"/>
      <c r="D16" s="118"/>
      <c r="E16" s="118"/>
      <c r="F16" s="134"/>
      <c r="G16" s="136"/>
      <c r="H16" s="138"/>
      <c r="I16" s="30" t="s">
        <v>126</v>
      </c>
      <c r="J16" s="31" t="s">
        <v>51</v>
      </c>
      <c r="K16" s="32" t="s">
        <v>96</v>
      </c>
      <c r="L16" s="32" t="s">
        <v>127</v>
      </c>
      <c r="M16" s="32" t="s">
        <v>128</v>
      </c>
      <c r="N16" s="33" t="s">
        <v>87</v>
      </c>
      <c r="O16" s="34" t="s">
        <v>145</v>
      </c>
      <c r="P16" s="35" t="s">
        <v>144</v>
      </c>
      <c r="Q16" s="32" t="s">
        <v>129</v>
      </c>
      <c r="R16" s="132"/>
      <c r="S16" s="118"/>
      <c r="T16" s="22"/>
    </row>
    <row r="17" spans="1:20" ht="26.4" customHeight="1">
      <c r="A17" s="155">
        <v>1</v>
      </c>
      <c r="B17" s="157" t="s">
        <v>123</v>
      </c>
      <c r="C17" s="153" t="s">
        <v>124</v>
      </c>
      <c r="D17" s="147">
        <v>45888</v>
      </c>
      <c r="E17" s="37" t="s">
        <v>102</v>
      </c>
      <c r="F17" s="147">
        <v>45887</v>
      </c>
      <c r="G17" s="149">
        <v>6</v>
      </c>
      <c r="H17" s="151">
        <v>2523000029</v>
      </c>
      <c r="I17" s="38">
        <v>0.23</v>
      </c>
      <c r="J17" s="39" t="s">
        <v>62</v>
      </c>
      <c r="K17" s="39" t="s">
        <v>62</v>
      </c>
      <c r="L17" s="40" t="s">
        <v>62</v>
      </c>
      <c r="M17" s="39">
        <v>26.9</v>
      </c>
      <c r="N17" s="40">
        <v>29.4</v>
      </c>
      <c r="O17" s="41" t="s">
        <v>62</v>
      </c>
      <c r="P17" s="42" t="s">
        <v>62</v>
      </c>
      <c r="Q17" s="42" t="s">
        <v>62</v>
      </c>
      <c r="R17" s="43" t="s">
        <v>38</v>
      </c>
      <c r="S17" s="37"/>
      <c r="T17" s="47" t="s">
        <v>130</v>
      </c>
    </row>
    <row r="18" spans="1:20" ht="30.6" customHeight="1" thickBot="1">
      <c r="A18" s="156"/>
      <c r="B18" s="158"/>
      <c r="C18" s="154"/>
      <c r="D18" s="148"/>
      <c r="E18" s="44" t="s">
        <v>125</v>
      </c>
      <c r="F18" s="148"/>
      <c r="G18" s="150"/>
      <c r="H18" s="152"/>
      <c r="I18" s="44">
        <v>0.22</v>
      </c>
      <c r="J18" s="51">
        <v>1.33</v>
      </c>
      <c r="K18" s="50">
        <v>8.4600000000000009</v>
      </c>
      <c r="L18" s="50">
        <v>11.34</v>
      </c>
      <c r="M18" s="50">
        <v>23.4</v>
      </c>
      <c r="N18" s="52">
        <v>27.5</v>
      </c>
      <c r="O18" s="53">
        <v>18300</v>
      </c>
      <c r="P18" s="51">
        <v>75</v>
      </c>
      <c r="Q18" s="51">
        <v>104</v>
      </c>
      <c r="R18" s="54" t="s">
        <v>38</v>
      </c>
      <c r="S18" s="45"/>
      <c r="T18" s="48" t="s">
        <v>130</v>
      </c>
    </row>
    <row r="19" spans="1:20" ht="21" customHeight="1">
      <c r="A19" s="155"/>
      <c r="B19" s="157"/>
      <c r="C19" s="153"/>
      <c r="D19" s="147"/>
      <c r="E19" s="37"/>
      <c r="F19" s="147"/>
      <c r="G19" s="149"/>
      <c r="H19" s="151"/>
      <c r="I19" s="38"/>
      <c r="J19" s="39"/>
      <c r="K19" s="39"/>
      <c r="L19" s="40"/>
      <c r="M19" s="39"/>
      <c r="N19" s="40"/>
      <c r="O19" s="41"/>
      <c r="P19" s="42"/>
      <c r="Q19" s="42"/>
      <c r="R19" s="43"/>
      <c r="S19" s="37"/>
      <c r="T19" s="47"/>
    </row>
    <row r="20" spans="1:20" ht="21" customHeight="1" thickBot="1">
      <c r="A20" s="156"/>
      <c r="B20" s="158"/>
      <c r="C20" s="154"/>
      <c r="D20" s="148"/>
      <c r="E20" s="44"/>
      <c r="F20" s="148"/>
      <c r="G20" s="150"/>
      <c r="H20" s="152"/>
      <c r="I20" s="44"/>
      <c r="J20" s="51"/>
      <c r="K20" s="50"/>
      <c r="L20" s="50"/>
      <c r="M20" s="50"/>
      <c r="N20" s="52"/>
      <c r="O20" s="53"/>
      <c r="P20" s="51"/>
      <c r="Q20" s="51"/>
      <c r="R20" s="54"/>
      <c r="S20" s="45"/>
      <c r="T20" s="48"/>
    </row>
    <row r="21" spans="1:20" ht="20.100000000000001" customHeight="1"/>
    <row r="22" spans="1:20" ht="20.100000000000001" customHeight="1"/>
    <row r="23" spans="1:20" ht="20.100000000000001" customHeight="1"/>
    <row r="24" spans="1:20" ht="20.100000000000001" customHeight="1"/>
    <row r="25" spans="1:20" ht="20.100000000000001" customHeight="1">
      <c r="H25"/>
    </row>
    <row r="26" spans="1:20" ht="20.100000000000001" customHeight="1"/>
    <row r="27" spans="1:20" ht="20.100000000000001" customHeight="1"/>
    <row r="28" spans="1:20" ht="20.100000000000001" customHeight="1"/>
    <row r="29" spans="1:20" ht="20.100000000000001" customHeight="1"/>
    <row r="30" spans="1:20" ht="20.100000000000001" customHeight="1"/>
    <row r="31" spans="1:20" ht="20.100000000000001" customHeight="1"/>
    <row r="32" spans="1:20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spans="32:32" ht="20.100000000000001" customHeight="1"/>
    <row r="338" spans="32:32" ht="20.100000000000001" customHeight="1"/>
    <row r="339" spans="32:32" ht="20.100000000000001" customHeight="1"/>
    <row r="340" spans="32:32" ht="20.100000000000001" customHeight="1"/>
    <row r="341" spans="32:32" ht="20.100000000000001" customHeight="1"/>
    <row r="342" spans="32:32" ht="20.100000000000001" customHeight="1"/>
    <row r="343" spans="32:32" ht="20.100000000000001" customHeight="1">
      <c r="AF343" s="1" t="s">
        <v>39</v>
      </c>
    </row>
  </sheetData>
  <autoFilter ref="A12:T18" xr:uid="{2023D5D9-0A37-4427-912B-90F76B223594}"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2" showButton="0"/>
    <filterColumn colId="15" showButton="0"/>
  </autoFilter>
  <mergeCells count="44">
    <mergeCell ref="H19:H20"/>
    <mergeCell ref="A19:A20"/>
    <mergeCell ref="B19:B20"/>
    <mergeCell ref="C19:C20"/>
    <mergeCell ref="D19:D20"/>
    <mergeCell ref="F19:F20"/>
    <mergeCell ref="G19:G20"/>
    <mergeCell ref="G17:G18"/>
    <mergeCell ref="H17:H18"/>
    <mergeCell ref="A12:A16"/>
    <mergeCell ref="B12:B16"/>
    <mergeCell ref="C12:C16"/>
    <mergeCell ref="D12:D16"/>
    <mergeCell ref="E12:E16"/>
    <mergeCell ref="A17:A18"/>
    <mergeCell ref="B17:B18"/>
    <mergeCell ref="C17:C18"/>
    <mergeCell ref="D17:D18"/>
    <mergeCell ref="F17:F18"/>
    <mergeCell ref="I12:N12"/>
    <mergeCell ref="P12:Q12"/>
    <mergeCell ref="R12:R16"/>
    <mergeCell ref="S12:S16"/>
    <mergeCell ref="F14:F16"/>
    <mergeCell ref="G14:G16"/>
    <mergeCell ref="H14:H16"/>
    <mergeCell ref="I14:M14"/>
    <mergeCell ref="P14:Q14"/>
    <mergeCell ref="F12:H13"/>
    <mergeCell ref="I15:Q15"/>
    <mergeCell ref="H10:T10"/>
    <mergeCell ref="A1:D2"/>
    <mergeCell ref="E1:U2"/>
    <mergeCell ref="A3:C4"/>
    <mergeCell ref="D3:E4"/>
    <mergeCell ref="F3:H4"/>
    <mergeCell ref="I3:L4"/>
    <mergeCell ref="M3:R4"/>
    <mergeCell ref="S3:T4"/>
    <mergeCell ref="D5:T5"/>
    <mergeCell ref="D6:T6"/>
    <mergeCell ref="A7:T7"/>
    <mergeCell ref="H8:T8"/>
    <mergeCell ref="H9:T9"/>
  </mergeCells>
  <conditionalFormatting sqref="I17:I20">
    <cfRule type="cellIs" dxfId="220" priority="10" operator="lessThan">
      <formula>0.25</formula>
    </cfRule>
  </conditionalFormatting>
  <conditionalFormatting sqref="J1:J16 J21:J1048576">
    <cfRule type="cellIs" dxfId="219" priority="27" operator="between">
      <formula>0</formula>
      <formula>1.5</formula>
    </cfRule>
  </conditionalFormatting>
  <conditionalFormatting sqref="K17:K20">
    <cfRule type="cellIs" dxfId="218" priority="9" operator="lessThan">
      <formula>8</formula>
    </cfRule>
  </conditionalFormatting>
  <conditionalFormatting sqref="K1:L16 K21:L1048576">
    <cfRule type="cellIs" dxfId="217" priority="30" operator="between">
      <formula>0</formula>
      <formula>7.5</formula>
    </cfRule>
  </conditionalFormatting>
  <conditionalFormatting sqref="L17:L20">
    <cfRule type="cellIs" dxfId="216" priority="8" operator="lessThan">
      <formula>13</formula>
    </cfRule>
  </conditionalFormatting>
  <conditionalFormatting sqref="M1:M16 M21:M1048576">
    <cfRule type="cellIs" dxfId="215" priority="26" operator="between">
      <formula>0</formula>
      <formula>16.5</formula>
    </cfRule>
  </conditionalFormatting>
  <conditionalFormatting sqref="M17:N20">
    <cfRule type="cellIs" dxfId="214" priority="6" operator="lessThan">
      <formula>21</formula>
    </cfRule>
  </conditionalFormatting>
  <conditionalFormatting sqref="N1:N16 N21:N1048576">
    <cfRule type="cellIs" dxfId="213" priority="25" operator="between">
      <formula>0</formula>
      <formula>25</formula>
    </cfRule>
  </conditionalFormatting>
  <conditionalFormatting sqref="O1:O16 O21:O1048576">
    <cfRule type="cellIs" priority="24" operator="between">
      <formula>0</formula>
      <formula>8000</formula>
    </cfRule>
  </conditionalFormatting>
  <conditionalFormatting sqref="O17:O20">
    <cfRule type="cellIs" dxfId="212" priority="5" operator="lessThan">
      <formula>10000</formula>
    </cfRule>
  </conditionalFormatting>
  <conditionalFormatting sqref="P1:P16 P21:P1048576">
    <cfRule type="cellIs" dxfId="211" priority="23" operator="between">
      <formula>0</formula>
      <formula>19</formula>
    </cfRule>
  </conditionalFormatting>
  <conditionalFormatting sqref="P17:P20">
    <cfRule type="cellIs" dxfId="210" priority="3" operator="lessThan">
      <formula>10</formula>
    </cfRule>
    <cfRule type="cellIs" dxfId="209" priority="4" operator="greaterThan">
      <formula>90</formula>
    </cfRule>
  </conditionalFormatting>
  <conditionalFormatting sqref="Q1:Q16 Q21:Q1048576">
    <cfRule type="cellIs" dxfId="208" priority="22" operator="between">
      <formula>0</formula>
      <formula>99</formula>
    </cfRule>
  </conditionalFormatting>
  <conditionalFormatting sqref="Q17:Q20">
    <cfRule type="cellIs" dxfId="207" priority="1" operator="lessThan">
      <formula>110</formula>
    </cfRule>
    <cfRule type="cellIs" dxfId="206" priority="2" operator="greaterThan">
      <formula>200</formula>
    </cfRule>
  </conditionalFormatting>
  <conditionalFormatting sqref="R1:R1048576">
    <cfRule type="cellIs" dxfId="205" priority="20" operator="between">
      <formula>"FAIL"</formula>
      <formula>"FAIL"</formula>
    </cfRule>
    <cfRule type="cellIs" dxfId="204" priority="21" operator="between">
      <formula>"PASS"</formula>
      <formula>"PASS"</formula>
    </cfRule>
  </conditionalFormatting>
  <printOptions horizontalCentered="1"/>
  <pageMargins left="0.19685039370078741" right="0.19685039370078741" top="0.19685039370078741" bottom="0.19685039370078741" header="0.11811023622047245" footer="0.15748031496062992"/>
  <pageSetup scale="31" orientation="landscape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F1F52-841A-4A63-89F5-DE24AAB34F51}">
  <dimension ref="A1:AH343"/>
  <sheetViews>
    <sheetView tabSelected="1" view="pageBreakPreview" zoomScale="80" zoomScaleNormal="100" zoomScaleSheetLayoutView="80" workbookViewId="0">
      <pane ySplit="16" topLeftCell="A17" activePane="bottomLeft" state="frozen"/>
      <selection pane="bottomLeft" activeCell="S16" sqref="S16"/>
    </sheetView>
  </sheetViews>
  <sheetFormatPr baseColWidth="10" defaultColWidth="9.33203125" defaultRowHeight="10.199999999999999"/>
  <cols>
    <col min="1" max="1" width="5.33203125" style="1" customWidth="1"/>
    <col min="2" max="2" width="16.6640625" style="1" customWidth="1"/>
    <col min="3" max="3" width="18.5546875" style="1" customWidth="1"/>
    <col min="4" max="4" width="14.6640625" style="1" customWidth="1"/>
    <col min="5" max="5" width="11" style="1" customWidth="1"/>
    <col min="6" max="6" width="11.33203125" style="1" customWidth="1"/>
    <col min="7" max="7" width="6.6640625" style="1" customWidth="1"/>
    <col min="8" max="8" width="11.33203125" style="1" customWidth="1"/>
    <col min="9" max="9" width="8.44140625" style="1" customWidth="1"/>
    <col min="10" max="10" width="5.33203125" style="1" customWidth="1"/>
    <col min="11" max="11" width="6.109375" style="1" customWidth="1"/>
    <col min="12" max="12" width="11.6640625" style="1" customWidth="1"/>
    <col min="13" max="14" width="9" style="1" customWidth="1"/>
    <col min="15" max="15" width="7.33203125" style="1" bestFit="1" customWidth="1"/>
    <col min="16" max="16" width="7.33203125" style="1" customWidth="1"/>
    <col min="17" max="17" width="10.88671875" style="1" customWidth="1"/>
    <col min="18" max="18" width="6.6640625" style="1" bestFit="1" customWidth="1"/>
    <col min="19" max="19" width="8.33203125" style="1" bestFit="1" customWidth="1"/>
    <col min="20" max="20" width="9.88671875" style="1" customWidth="1"/>
    <col min="21" max="21" width="14.88671875" style="46" customWidth="1"/>
    <col min="22" max="22" width="33" style="46" customWidth="1"/>
    <col min="23" max="16384" width="9.33203125" style="1"/>
  </cols>
  <sheetData>
    <row r="1" spans="1:34" ht="21" customHeight="1">
      <c r="A1" s="88" t="s">
        <v>40</v>
      </c>
      <c r="B1" s="89"/>
      <c r="C1" s="89"/>
      <c r="D1" s="90"/>
      <c r="E1" s="94" t="s">
        <v>0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84"/>
    </row>
    <row r="2" spans="1:34" ht="29.25" customHeight="1" thickBot="1">
      <c r="A2" s="91"/>
      <c r="B2" s="92"/>
      <c r="C2" s="92"/>
      <c r="D2" s="93"/>
      <c r="E2" s="97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84"/>
    </row>
    <row r="3" spans="1:34" ht="22.5" customHeight="1">
      <c r="A3" s="100" t="s">
        <v>41</v>
      </c>
      <c r="B3" s="101"/>
      <c r="C3" s="102"/>
      <c r="D3" s="100" t="s">
        <v>42</v>
      </c>
      <c r="E3" s="102"/>
      <c r="F3" s="100" t="s">
        <v>43</v>
      </c>
      <c r="G3" s="101"/>
      <c r="H3" s="102"/>
      <c r="I3" s="100" t="s">
        <v>44</v>
      </c>
      <c r="J3" s="101"/>
      <c r="K3" s="101"/>
      <c r="L3" s="102"/>
      <c r="M3" s="100" t="s">
        <v>1</v>
      </c>
      <c r="N3" s="101"/>
      <c r="O3" s="101"/>
      <c r="P3" s="101"/>
      <c r="Q3" s="101"/>
      <c r="R3" s="101"/>
      <c r="S3" s="101"/>
      <c r="T3" s="101"/>
      <c r="U3" s="106" t="s">
        <v>2</v>
      </c>
      <c r="V3" s="107"/>
    </row>
    <row r="4" spans="1:34" ht="23.25" customHeight="1" thickBot="1">
      <c r="A4" s="103"/>
      <c r="B4" s="104"/>
      <c r="C4" s="105"/>
      <c r="D4" s="103"/>
      <c r="E4" s="105"/>
      <c r="F4" s="103"/>
      <c r="G4" s="104"/>
      <c r="H4" s="105"/>
      <c r="I4" s="103"/>
      <c r="J4" s="104"/>
      <c r="K4" s="104"/>
      <c r="L4" s="105"/>
      <c r="M4" s="103"/>
      <c r="N4" s="104"/>
      <c r="O4" s="104"/>
      <c r="P4" s="104"/>
      <c r="Q4" s="104"/>
      <c r="R4" s="104"/>
      <c r="S4" s="104"/>
      <c r="T4" s="104"/>
      <c r="U4" s="108"/>
      <c r="V4" s="109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15.75" customHeight="1">
      <c r="A5" s="3"/>
      <c r="B5" s="3"/>
      <c r="C5" s="3"/>
      <c r="D5" s="110" t="s">
        <v>3</v>
      </c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</row>
    <row r="6" spans="1:34" ht="9.75" customHeight="1" thickBot="1">
      <c r="A6" s="4"/>
      <c r="B6" s="4"/>
      <c r="C6" s="4"/>
      <c r="D6" s="111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</row>
    <row r="7" spans="1:34" ht="16.5" customHeight="1" thickBot="1">
      <c r="A7" s="113" t="s">
        <v>4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</row>
    <row r="8" spans="1:34" ht="11.25" customHeight="1">
      <c r="A8" s="5"/>
      <c r="B8" s="6"/>
      <c r="C8" s="6"/>
      <c r="D8" s="7"/>
      <c r="E8" s="7"/>
      <c r="F8" s="7"/>
      <c r="G8" s="8"/>
      <c r="H8" s="114" t="s">
        <v>5</v>
      </c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6"/>
    </row>
    <row r="9" spans="1:34" ht="12" customHeight="1">
      <c r="A9" s="9"/>
      <c r="B9" s="49"/>
      <c r="C9" s="10" t="s">
        <v>142</v>
      </c>
      <c r="D9" s="10"/>
      <c r="E9" s="10"/>
      <c r="F9" s="10"/>
      <c r="G9" s="11"/>
      <c r="H9" s="85" t="s">
        <v>6</v>
      </c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7"/>
    </row>
    <row r="10" spans="1:34" ht="12" customHeight="1">
      <c r="A10" s="9"/>
      <c r="B10" s="49"/>
      <c r="C10" s="10" t="s">
        <v>174</v>
      </c>
      <c r="D10" s="12"/>
      <c r="E10" s="13"/>
      <c r="F10" s="13"/>
      <c r="G10" s="14"/>
      <c r="H10" s="85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7"/>
    </row>
    <row r="11" spans="1:34" ht="10.8" thickBot="1">
      <c r="A11" s="15"/>
      <c r="B11" s="19"/>
      <c r="C11" s="16"/>
      <c r="D11" s="17"/>
      <c r="E11" s="16"/>
      <c r="F11" s="16"/>
      <c r="G11" s="18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20"/>
    </row>
    <row r="12" spans="1:34" ht="34.5" customHeight="1" thickBot="1">
      <c r="A12" s="159" t="s">
        <v>7</v>
      </c>
      <c r="B12" s="117" t="s">
        <v>61</v>
      </c>
      <c r="C12" s="117" t="s">
        <v>77</v>
      </c>
      <c r="D12" s="117" t="s">
        <v>8</v>
      </c>
      <c r="E12" s="117" t="s">
        <v>9</v>
      </c>
      <c r="F12" s="119" t="s">
        <v>10</v>
      </c>
      <c r="G12" s="120"/>
      <c r="H12" s="121"/>
      <c r="I12" s="125" t="s">
        <v>11</v>
      </c>
      <c r="J12" s="126"/>
      <c r="K12" s="126"/>
      <c r="L12" s="126"/>
      <c r="M12" s="126"/>
      <c r="N12" s="126"/>
      <c r="O12" s="126"/>
      <c r="P12" s="127"/>
      <c r="Q12" s="21" t="s">
        <v>12</v>
      </c>
      <c r="R12" s="128" t="s">
        <v>13</v>
      </c>
      <c r="S12" s="129"/>
      <c r="T12" s="100" t="s">
        <v>14</v>
      </c>
      <c r="U12" s="117" t="s">
        <v>15</v>
      </c>
      <c r="V12" s="21"/>
    </row>
    <row r="13" spans="1:34" ht="23.25" customHeight="1" thickBot="1">
      <c r="A13" s="160"/>
      <c r="B13" s="118"/>
      <c r="C13" s="118"/>
      <c r="D13" s="118"/>
      <c r="E13" s="118"/>
      <c r="F13" s="122"/>
      <c r="G13" s="123"/>
      <c r="H13" s="124"/>
      <c r="I13" s="23" t="s">
        <v>16</v>
      </c>
      <c r="J13" s="24" t="s">
        <v>17</v>
      </c>
      <c r="K13" s="24" t="s">
        <v>18</v>
      </c>
      <c r="L13" s="24" t="s">
        <v>19</v>
      </c>
      <c r="M13" s="24" t="s">
        <v>20</v>
      </c>
      <c r="N13" s="135" t="s">
        <v>181</v>
      </c>
      <c r="O13" s="25" t="s">
        <v>21</v>
      </c>
      <c r="P13" s="117" t="s">
        <v>183</v>
      </c>
      <c r="Q13" s="22" t="s">
        <v>22</v>
      </c>
      <c r="R13" s="26" t="s">
        <v>23</v>
      </c>
      <c r="S13" s="76" t="s">
        <v>24</v>
      </c>
      <c r="T13" s="132"/>
      <c r="U13" s="118"/>
      <c r="V13" s="22"/>
      <c r="AA13" s="1" t="s">
        <v>25</v>
      </c>
    </row>
    <row r="14" spans="1:34" ht="22.5" customHeight="1">
      <c r="A14" s="160"/>
      <c r="B14" s="118"/>
      <c r="C14" s="118"/>
      <c r="D14" s="118"/>
      <c r="E14" s="118"/>
      <c r="F14" s="133" t="s">
        <v>26</v>
      </c>
      <c r="G14" s="135" t="s">
        <v>27</v>
      </c>
      <c r="H14" s="137" t="s">
        <v>85</v>
      </c>
      <c r="I14" s="139" t="s">
        <v>28</v>
      </c>
      <c r="J14" s="140"/>
      <c r="K14" s="140"/>
      <c r="L14" s="140"/>
      <c r="M14" s="141"/>
      <c r="N14" s="165"/>
      <c r="O14" s="28" t="s">
        <v>28</v>
      </c>
      <c r="P14" s="164"/>
      <c r="Q14" s="29" t="s">
        <v>29</v>
      </c>
      <c r="R14" s="142" t="s">
        <v>30</v>
      </c>
      <c r="S14" s="143"/>
      <c r="T14" s="132"/>
      <c r="U14" s="118"/>
      <c r="V14" s="22" t="s">
        <v>31</v>
      </c>
    </row>
    <row r="15" spans="1:34" ht="22.5" customHeight="1">
      <c r="A15" s="160"/>
      <c r="B15" s="118"/>
      <c r="C15" s="118"/>
      <c r="D15" s="118"/>
      <c r="E15" s="118"/>
      <c r="F15" s="134"/>
      <c r="G15" s="136"/>
      <c r="H15" s="138"/>
      <c r="I15" s="144" t="s">
        <v>32</v>
      </c>
      <c r="J15" s="145"/>
      <c r="K15" s="145"/>
      <c r="L15" s="145"/>
      <c r="M15" s="145"/>
      <c r="N15" s="145"/>
      <c r="O15" s="145"/>
      <c r="P15" s="145"/>
      <c r="Q15" s="145"/>
      <c r="R15" s="145"/>
      <c r="S15" s="146"/>
      <c r="T15" s="132"/>
      <c r="U15" s="118"/>
      <c r="V15" s="22"/>
    </row>
    <row r="16" spans="1:34" ht="36" customHeight="1" thickBot="1">
      <c r="A16" s="160"/>
      <c r="B16" s="118"/>
      <c r="C16" s="118"/>
      <c r="D16" s="118"/>
      <c r="E16" s="118"/>
      <c r="F16" s="134"/>
      <c r="G16" s="136"/>
      <c r="H16" s="138"/>
      <c r="I16" s="30" t="s">
        <v>126</v>
      </c>
      <c r="J16" s="31" t="s">
        <v>51</v>
      </c>
      <c r="K16" s="32" t="s">
        <v>96</v>
      </c>
      <c r="L16" s="32" t="s">
        <v>127</v>
      </c>
      <c r="M16" s="32" t="s">
        <v>128</v>
      </c>
      <c r="N16" s="81" t="s">
        <v>190</v>
      </c>
      <c r="O16" s="82" t="s">
        <v>128</v>
      </c>
      <c r="P16" s="83" t="s">
        <v>191</v>
      </c>
      <c r="Q16" s="34" t="s">
        <v>175</v>
      </c>
      <c r="R16" s="35" t="s">
        <v>155</v>
      </c>
      <c r="S16" s="32" t="s">
        <v>129</v>
      </c>
      <c r="T16" s="132"/>
      <c r="U16" s="118"/>
      <c r="V16" s="22"/>
    </row>
    <row r="17" spans="1:22" ht="26.4" customHeight="1">
      <c r="A17" s="155">
        <v>1</v>
      </c>
      <c r="B17" s="157" t="s">
        <v>123</v>
      </c>
      <c r="C17" s="153" t="s">
        <v>124</v>
      </c>
      <c r="D17" s="147">
        <v>45888</v>
      </c>
      <c r="E17" s="37" t="s">
        <v>102</v>
      </c>
      <c r="F17" s="147">
        <v>45887</v>
      </c>
      <c r="G17" s="149">
        <v>6</v>
      </c>
      <c r="H17" s="151">
        <v>2523000029</v>
      </c>
      <c r="I17" s="38">
        <v>0.23</v>
      </c>
      <c r="J17" s="39" t="s">
        <v>62</v>
      </c>
      <c r="K17" s="39" t="s">
        <v>62</v>
      </c>
      <c r="L17" s="40" t="s">
        <v>62</v>
      </c>
      <c r="M17" s="39">
        <v>26.9</v>
      </c>
      <c r="N17" s="39" t="s">
        <v>62</v>
      </c>
      <c r="O17" s="40">
        <v>29.4</v>
      </c>
      <c r="P17" s="40"/>
      <c r="Q17" s="41" t="s">
        <v>62</v>
      </c>
      <c r="R17" s="42" t="s">
        <v>62</v>
      </c>
      <c r="S17" s="42" t="s">
        <v>62</v>
      </c>
      <c r="T17" s="43" t="s">
        <v>38</v>
      </c>
      <c r="U17" s="37"/>
      <c r="V17" s="47" t="s">
        <v>130</v>
      </c>
    </row>
    <row r="18" spans="1:22" ht="30.6" customHeight="1" thickBot="1">
      <c r="A18" s="156"/>
      <c r="B18" s="158"/>
      <c r="C18" s="154"/>
      <c r="D18" s="148"/>
      <c r="E18" s="44" t="s">
        <v>125</v>
      </c>
      <c r="F18" s="148"/>
      <c r="G18" s="150"/>
      <c r="H18" s="152"/>
      <c r="I18" s="44">
        <v>0.22</v>
      </c>
      <c r="J18" s="51">
        <v>1.33</v>
      </c>
      <c r="K18" s="50">
        <v>8.4600000000000009</v>
      </c>
      <c r="L18" s="50">
        <v>11.34</v>
      </c>
      <c r="M18" s="50">
        <v>23.4</v>
      </c>
      <c r="N18" s="50">
        <f>(L18/(L18+K18+J18))*100</f>
        <v>53.667770941788916</v>
      </c>
      <c r="O18" s="52">
        <v>27.5</v>
      </c>
      <c r="P18" s="52">
        <f>O18/M18</f>
        <v>1.1752136752136753</v>
      </c>
      <c r="Q18" s="53">
        <v>18300</v>
      </c>
      <c r="R18" s="51">
        <v>75</v>
      </c>
      <c r="S18" s="51">
        <v>104</v>
      </c>
      <c r="T18" s="54" t="s">
        <v>38</v>
      </c>
      <c r="U18" s="45"/>
      <c r="V18" s="48" t="s">
        <v>130</v>
      </c>
    </row>
    <row r="19" spans="1:22" ht="21" customHeight="1">
      <c r="A19" s="155"/>
      <c r="B19" s="157"/>
      <c r="C19" s="153"/>
      <c r="D19" s="147"/>
      <c r="E19" s="37"/>
      <c r="F19" s="147"/>
      <c r="G19" s="149"/>
      <c r="H19" s="151"/>
      <c r="I19" s="38"/>
      <c r="J19" s="39"/>
      <c r="K19" s="39"/>
      <c r="L19" s="40"/>
      <c r="M19" s="39"/>
      <c r="N19" s="39"/>
      <c r="O19" s="40"/>
      <c r="P19" s="40"/>
      <c r="Q19" s="41"/>
      <c r="R19" s="42"/>
      <c r="S19" s="42"/>
      <c r="T19" s="43"/>
      <c r="U19" s="37"/>
      <c r="V19" s="47"/>
    </row>
    <row r="20" spans="1:22" ht="21" customHeight="1" thickBot="1">
      <c r="A20" s="156"/>
      <c r="B20" s="158"/>
      <c r="C20" s="154"/>
      <c r="D20" s="148"/>
      <c r="E20" s="44"/>
      <c r="F20" s="148"/>
      <c r="G20" s="150"/>
      <c r="H20" s="152"/>
      <c r="I20" s="44"/>
      <c r="J20" s="51"/>
      <c r="K20" s="50"/>
      <c r="L20" s="50"/>
      <c r="M20" s="50"/>
      <c r="N20" s="50"/>
      <c r="O20" s="52"/>
      <c r="P20" s="52"/>
      <c r="Q20" s="53"/>
      <c r="R20" s="51"/>
      <c r="S20" s="51"/>
      <c r="T20" s="54"/>
      <c r="U20" s="45"/>
      <c r="V20" s="48"/>
    </row>
    <row r="21" spans="1:22" ht="20.100000000000001" customHeight="1"/>
    <row r="22" spans="1:22" ht="20.100000000000001" customHeight="1"/>
    <row r="23" spans="1:22" ht="20.100000000000001" customHeight="1"/>
    <row r="24" spans="1:22" ht="20.100000000000001" customHeight="1"/>
    <row r="25" spans="1:22" ht="20.100000000000001" customHeight="1">
      <c r="E25" s="10"/>
      <c r="F25" s="10"/>
      <c r="H25"/>
    </row>
    <row r="26" spans="1:22" ht="20.100000000000001" customHeight="1">
      <c r="E26" s="10"/>
      <c r="F26" s="12"/>
    </row>
    <row r="27" spans="1:22" ht="20.100000000000001" customHeight="1"/>
    <row r="28" spans="1:22" ht="20.100000000000001" customHeight="1"/>
    <row r="29" spans="1:22" ht="20.100000000000001" customHeight="1"/>
    <row r="30" spans="1:22" ht="20.100000000000001" customHeight="1"/>
    <row r="31" spans="1:22" ht="20.100000000000001" customHeight="1"/>
    <row r="32" spans="1:2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spans="34:34" ht="20.100000000000001" customHeight="1"/>
    <row r="338" spans="34:34" ht="20.100000000000001" customHeight="1"/>
    <row r="339" spans="34:34" ht="20.100000000000001" customHeight="1"/>
    <row r="340" spans="34:34" ht="20.100000000000001" customHeight="1"/>
    <row r="341" spans="34:34" ht="20.100000000000001" customHeight="1"/>
    <row r="342" spans="34:34" ht="20.100000000000001" customHeight="1"/>
    <row r="343" spans="34:34" ht="20.100000000000001" customHeight="1">
      <c r="AH343" s="1" t="s">
        <v>39</v>
      </c>
    </row>
  </sheetData>
  <autoFilter ref="A12:V18" xr:uid="{2023D5D9-0A37-4427-912B-90F76B223594}"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7" showButton="0"/>
  </autoFilter>
  <mergeCells count="46">
    <mergeCell ref="H17:H18"/>
    <mergeCell ref="A19:A20"/>
    <mergeCell ref="B19:B20"/>
    <mergeCell ref="C19:C20"/>
    <mergeCell ref="D19:D20"/>
    <mergeCell ref="F19:F20"/>
    <mergeCell ref="G19:G20"/>
    <mergeCell ref="H19:H20"/>
    <mergeCell ref="A17:A18"/>
    <mergeCell ref="B17:B18"/>
    <mergeCell ref="C17:C18"/>
    <mergeCell ref="D17:D18"/>
    <mergeCell ref="F17:F18"/>
    <mergeCell ref="G17:G18"/>
    <mergeCell ref="R12:S12"/>
    <mergeCell ref="T12:T16"/>
    <mergeCell ref="U12:U16"/>
    <mergeCell ref="F14:F16"/>
    <mergeCell ref="G14:G16"/>
    <mergeCell ref="H14:H16"/>
    <mergeCell ref="I14:M14"/>
    <mergeCell ref="R14:S14"/>
    <mergeCell ref="I15:S15"/>
    <mergeCell ref="F12:H13"/>
    <mergeCell ref="N13:N14"/>
    <mergeCell ref="P13:P14"/>
    <mergeCell ref="I12:P12"/>
    <mergeCell ref="A12:A16"/>
    <mergeCell ref="B12:B16"/>
    <mergeCell ref="C12:C16"/>
    <mergeCell ref="D12:D16"/>
    <mergeCell ref="E12:E16"/>
    <mergeCell ref="H10:V10"/>
    <mergeCell ref="A1:D2"/>
    <mergeCell ref="A3:C4"/>
    <mergeCell ref="D3:E4"/>
    <mergeCell ref="F3:H4"/>
    <mergeCell ref="I3:L4"/>
    <mergeCell ref="M3:T4"/>
    <mergeCell ref="U3:V4"/>
    <mergeCell ref="D5:V5"/>
    <mergeCell ref="D6:V6"/>
    <mergeCell ref="A7:V7"/>
    <mergeCell ref="H8:V8"/>
    <mergeCell ref="H9:V9"/>
    <mergeCell ref="E1:V2"/>
  </mergeCells>
  <conditionalFormatting sqref="I17:I20">
    <cfRule type="cellIs" dxfId="38" priority="13" operator="lessThan">
      <formula>0.25</formula>
    </cfRule>
  </conditionalFormatting>
  <conditionalFormatting sqref="J3:J11 J13:J16 J21:J1048576">
    <cfRule type="cellIs" dxfId="37" priority="21" operator="between">
      <formula>0</formula>
      <formula>1.5</formula>
    </cfRule>
  </conditionalFormatting>
  <conditionalFormatting sqref="K17:K20">
    <cfRule type="cellIs" dxfId="36" priority="12" operator="lessThan">
      <formula>8</formula>
    </cfRule>
  </conditionalFormatting>
  <conditionalFormatting sqref="K3:L11 K13:L16 K21:L1048576">
    <cfRule type="cellIs" dxfId="35" priority="22" operator="between">
      <formula>0</formula>
      <formula>7.5</formula>
    </cfRule>
  </conditionalFormatting>
  <conditionalFormatting sqref="L17:L20">
    <cfRule type="cellIs" dxfId="34" priority="11" operator="lessThan">
      <formula>13</formula>
    </cfRule>
  </conditionalFormatting>
  <conditionalFormatting sqref="M3:N11 M13:N13 M14 M15:N16 M21:N1048576">
    <cfRule type="cellIs" dxfId="33" priority="20" operator="between">
      <formula>0</formula>
      <formula>16.5</formula>
    </cfRule>
  </conditionalFormatting>
  <conditionalFormatting sqref="M17:M18 M19:P20 O17:P17 O18">
    <cfRule type="cellIs" dxfId="32" priority="10" operator="lessThan">
      <formula>21</formula>
    </cfRule>
  </conditionalFormatting>
  <conditionalFormatting sqref="O3:P11 O13:P13 O14 O15:P16 O21:P1048576">
    <cfRule type="cellIs" dxfId="31" priority="19" operator="between">
      <formula>0</formula>
      <formula>25</formula>
    </cfRule>
  </conditionalFormatting>
  <conditionalFormatting sqref="P18">
    <cfRule type="cellIs" dxfId="30" priority="3" operator="lessThan">
      <formula>1.2</formula>
    </cfRule>
  </conditionalFormatting>
  <conditionalFormatting sqref="Q3:Q16 Q21:Q1048576">
    <cfRule type="cellIs" priority="18" operator="between">
      <formula>0</formula>
      <formula>8000</formula>
    </cfRule>
  </conditionalFormatting>
  <conditionalFormatting sqref="Q17:Q20">
    <cfRule type="cellIs" dxfId="29" priority="9" operator="lessThan">
      <formula>10000</formula>
    </cfRule>
  </conditionalFormatting>
  <conditionalFormatting sqref="R3:R16 R21:R1048576">
    <cfRule type="cellIs" dxfId="28" priority="17" operator="between">
      <formula>0</formula>
      <formula>19</formula>
    </cfRule>
  </conditionalFormatting>
  <conditionalFormatting sqref="R17:R20">
    <cfRule type="cellIs" dxfId="27" priority="7" operator="lessThan">
      <formula>10</formula>
    </cfRule>
    <cfRule type="cellIs" dxfId="26" priority="8" operator="greaterThan">
      <formula>90</formula>
    </cfRule>
  </conditionalFormatting>
  <conditionalFormatting sqref="S3:S16 S21:S1048576">
    <cfRule type="cellIs" dxfId="25" priority="16" operator="between">
      <formula>0</formula>
      <formula>99</formula>
    </cfRule>
  </conditionalFormatting>
  <conditionalFormatting sqref="S17:S20">
    <cfRule type="cellIs" dxfId="24" priority="5" operator="lessThan">
      <formula>110</formula>
    </cfRule>
    <cfRule type="cellIs" dxfId="23" priority="6" operator="greaterThan">
      <formula>200</formula>
    </cfRule>
  </conditionalFormatting>
  <conditionalFormatting sqref="T3:T1048576">
    <cfRule type="cellIs" dxfId="22" priority="14" operator="between">
      <formula>"FAIL"</formula>
      <formula>"FAIL"</formula>
    </cfRule>
    <cfRule type="cellIs" dxfId="21" priority="15" operator="between">
      <formula>"PASS"</formula>
      <formula>"PASS"</formula>
    </cfRule>
  </conditionalFormatting>
  <conditionalFormatting sqref="N17:N18">
    <cfRule type="cellIs" dxfId="0" priority="2" operator="lessThan">
      <formula>60</formula>
    </cfRule>
    <cfRule type="cellIs" dxfId="1" priority="1" operator="greaterThan">
      <formula>80</formula>
    </cfRule>
  </conditionalFormatting>
  <printOptions horizontalCentered="1"/>
  <pageMargins left="0.19685039370078741" right="0.19685039370078741" top="0.19685039370078741" bottom="0.19685039370078741" header="0.11811023622047245" footer="0.15748031496062992"/>
  <pageSetup scale="31" orientation="landscape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4DE93-4338-4F9E-908A-1806A3A70B3A}">
  <dimension ref="A1:AH343"/>
  <sheetViews>
    <sheetView view="pageBreakPreview" zoomScale="80" zoomScaleNormal="100" zoomScaleSheetLayoutView="80" workbookViewId="0">
      <pane ySplit="16" topLeftCell="A17" activePane="bottomLeft" state="frozen"/>
      <selection pane="bottomLeft" activeCell="Q16" sqref="Q16"/>
    </sheetView>
  </sheetViews>
  <sheetFormatPr baseColWidth="10" defaultColWidth="9.33203125" defaultRowHeight="10.199999999999999"/>
  <cols>
    <col min="1" max="1" width="5.33203125" style="1" customWidth="1"/>
    <col min="2" max="2" width="16.6640625" style="1" customWidth="1"/>
    <col min="3" max="3" width="18.5546875" style="1" customWidth="1"/>
    <col min="4" max="4" width="14.6640625" style="1" customWidth="1"/>
    <col min="5" max="5" width="11" style="1" customWidth="1"/>
    <col min="6" max="6" width="11.33203125" style="1" customWidth="1"/>
    <col min="7" max="7" width="6.6640625" style="1" customWidth="1"/>
    <col min="8" max="8" width="11.33203125" style="1" customWidth="1"/>
    <col min="9" max="9" width="10.109375" style="1" customWidth="1"/>
    <col min="10" max="10" width="5.33203125" style="1" customWidth="1"/>
    <col min="11" max="11" width="6.109375" style="1" customWidth="1"/>
    <col min="12" max="12" width="11.6640625" style="1" customWidth="1"/>
    <col min="13" max="14" width="9" style="1" customWidth="1"/>
    <col min="15" max="15" width="7.33203125" style="1" bestFit="1" customWidth="1"/>
    <col min="16" max="16" width="7.33203125" style="1" customWidth="1"/>
    <col min="17" max="17" width="10.88671875" style="1" customWidth="1"/>
    <col min="18" max="18" width="6.6640625" style="1" bestFit="1" customWidth="1"/>
    <col min="19" max="19" width="8.33203125" style="1" bestFit="1" customWidth="1"/>
    <col min="20" max="20" width="9.88671875" style="1" customWidth="1"/>
    <col min="21" max="21" width="14.88671875" style="46" customWidth="1"/>
    <col min="22" max="22" width="33" style="46" customWidth="1"/>
    <col min="23" max="16384" width="9.33203125" style="1"/>
  </cols>
  <sheetData>
    <row r="1" spans="1:34" ht="21" customHeight="1">
      <c r="A1" s="88" t="s">
        <v>40</v>
      </c>
      <c r="B1" s="89"/>
      <c r="C1" s="89"/>
      <c r="D1" s="90"/>
      <c r="E1" s="94" t="s">
        <v>0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84"/>
    </row>
    <row r="2" spans="1:34" ht="29.25" customHeight="1" thickBot="1">
      <c r="A2" s="91"/>
      <c r="B2" s="92"/>
      <c r="C2" s="92"/>
      <c r="D2" s="93"/>
      <c r="E2" s="97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84"/>
    </row>
    <row r="3" spans="1:34" ht="22.5" customHeight="1">
      <c r="A3" s="100" t="s">
        <v>41</v>
      </c>
      <c r="B3" s="101"/>
      <c r="C3" s="102"/>
      <c r="D3" s="100" t="s">
        <v>42</v>
      </c>
      <c r="E3" s="102"/>
      <c r="F3" s="100" t="s">
        <v>43</v>
      </c>
      <c r="G3" s="101"/>
      <c r="H3" s="102"/>
      <c r="I3" s="100" t="s">
        <v>44</v>
      </c>
      <c r="J3" s="101"/>
      <c r="K3" s="101"/>
      <c r="L3" s="102"/>
      <c r="M3" s="100" t="s">
        <v>1</v>
      </c>
      <c r="N3" s="101"/>
      <c r="O3" s="101"/>
      <c r="P3" s="101"/>
      <c r="Q3" s="101"/>
      <c r="R3" s="101"/>
      <c r="S3" s="101"/>
      <c r="T3" s="101"/>
      <c r="U3" s="106" t="s">
        <v>2</v>
      </c>
      <c r="V3" s="107"/>
    </row>
    <row r="4" spans="1:34" ht="23.25" customHeight="1" thickBot="1">
      <c r="A4" s="103"/>
      <c r="B4" s="104"/>
      <c r="C4" s="105"/>
      <c r="D4" s="103"/>
      <c r="E4" s="105"/>
      <c r="F4" s="103"/>
      <c r="G4" s="104"/>
      <c r="H4" s="105"/>
      <c r="I4" s="103"/>
      <c r="J4" s="104"/>
      <c r="K4" s="104"/>
      <c r="L4" s="105"/>
      <c r="M4" s="103"/>
      <c r="N4" s="104"/>
      <c r="O4" s="104"/>
      <c r="P4" s="104"/>
      <c r="Q4" s="104"/>
      <c r="R4" s="104"/>
      <c r="S4" s="104"/>
      <c r="T4" s="104"/>
      <c r="U4" s="108"/>
      <c r="V4" s="109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15.75" customHeight="1">
      <c r="A5" s="3"/>
      <c r="B5" s="3"/>
      <c r="C5" s="3"/>
      <c r="D5" s="110" t="s">
        <v>3</v>
      </c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</row>
    <row r="6" spans="1:34" ht="9.75" customHeight="1" thickBot="1">
      <c r="A6" s="4"/>
      <c r="B6" s="4"/>
      <c r="C6" s="4"/>
      <c r="D6" s="111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</row>
    <row r="7" spans="1:34" ht="16.5" customHeight="1" thickBot="1">
      <c r="A7" s="113" t="s">
        <v>4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</row>
    <row r="8" spans="1:34" ht="11.25" customHeight="1">
      <c r="A8" s="5"/>
      <c r="B8" s="6"/>
      <c r="C8" s="6"/>
      <c r="D8" s="7"/>
      <c r="E8" s="7"/>
      <c r="F8" s="7"/>
      <c r="G8" s="8"/>
      <c r="H8" s="114" t="s">
        <v>5</v>
      </c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6"/>
    </row>
    <row r="9" spans="1:34" ht="12" customHeight="1">
      <c r="A9" s="9"/>
      <c r="B9" s="49"/>
      <c r="C9" s="10" t="s">
        <v>179</v>
      </c>
      <c r="D9" s="10"/>
      <c r="E9" s="10"/>
      <c r="F9" s="10"/>
      <c r="G9" s="11"/>
      <c r="H9" s="85" t="s">
        <v>6</v>
      </c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7"/>
    </row>
    <row r="10" spans="1:34" ht="12" customHeight="1">
      <c r="A10" s="9"/>
      <c r="B10" s="49"/>
      <c r="C10" s="10" t="s">
        <v>180</v>
      </c>
      <c r="D10" s="12"/>
      <c r="E10" s="13"/>
      <c r="F10" s="13"/>
      <c r="G10" s="14"/>
      <c r="H10" s="85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7"/>
    </row>
    <row r="11" spans="1:34" ht="10.8" thickBot="1">
      <c r="A11" s="15"/>
      <c r="B11" s="19"/>
      <c r="C11" s="16"/>
      <c r="D11" s="17"/>
      <c r="E11" s="16"/>
      <c r="F11" s="16"/>
      <c r="G11" s="18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20"/>
    </row>
    <row r="12" spans="1:34" ht="34.5" customHeight="1" thickBot="1">
      <c r="A12" s="159" t="s">
        <v>7</v>
      </c>
      <c r="B12" s="117" t="s">
        <v>61</v>
      </c>
      <c r="C12" s="117" t="s">
        <v>77</v>
      </c>
      <c r="D12" s="117" t="s">
        <v>8</v>
      </c>
      <c r="E12" s="117" t="s">
        <v>9</v>
      </c>
      <c r="F12" s="119" t="s">
        <v>10</v>
      </c>
      <c r="G12" s="120"/>
      <c r="H12" s="121"/>
      <c r="I12" s="125" t="s">
        <v>11</v>
      </c>
      <c r="J12" s="126"/>
      <c r="K12" s="126"/>
      <c r="L12" s="126"/>
      <c r="M12" s="126"/>
      <c r="N12" s="126"/>
      <c r="O12" s="126"/>
      <c r="P12" s="127"/>
      <c r="Q12" s="21" t="s">
        <v>12</v>
      </c>
      <c r="R12" s="128" t="s">
        <v>13</v>
      </c>
      <c r="S12" s="129"/>
      <c r="T12" s="100" t="s">
        <v>14</v>
      </c>
      <c r="U12" s="117" t="s">
        <v>15</v>
      </c>
      <c r="V12" s="21"/>
    </row>
    <row r="13" spans="1:34" ht="23.25" customHeight="1" thickBot="1">
      <c r="A13" s="160"/>
      <c r="B13" s="118"/>
      <c r="C13" s="118"/>
      <c r="D13" s="118"/>
      <c r="E13" s="118"/>
      <c r="F13" s="122"/>
      <c r="G13" s="123"/>
      <c r="H13" s="124"/>
      <c r="I13" s="23" t="s">
        <v>16</v>
      </c>
      <c r="J13" s="24" t="s">
        <v>17</v>
      </c>
      <c r="K13" s="24" t="s">
        <v>18</v>
      </c>
      <c r="L13" s="24" t="s">
        <v>19</v>
      </c>
      <c r="M13" s="24" t="s">
        <v>20</v>
      </c>
      <c r="N13" s="135" t="s">
        <v>181</v>
      </c>
      <c r="O13" s="25" t="s">
        <v>21</v>
      </c>
      <c r="P13" s="117" t="s">
        <v>183</v>
      </c>
      <c r="Q13" s="22" t="s">
        <v>22</v>
      </c>
      <c r="R13" s="26" t="s">
        <v>23</v>
      </c>
      <c r="S13" s="80" t="s">
        <v>24</v>
      </c>
      <c r="T13" s="132"/>
      <c r="U13" s="118"/>
      <c r="V13" s="22"/>
      <c r="AA13" s="1" t="s">
        <v>25</v>
      </c>
    </row>
    <row r="14" spans="1:34" ht="22.5" customHeight="1">
      <c r="A14" s="160"/>
      <c r="B14" s="118"/>
      <c r="C14" s="118"/>
      <c r="D14" s="118"/>
      <c r="E14" s="118"/>
      <c r="F14" s="133" t="s">
        <v>26</v>
      </c>
      <c r="G14" s="135" t="s">
        <v>27</v>
      </c>
      <c r="H14" s="137" t="s">
        <v>85</v>
      </c>
      <c r="I14" s="139" t="s">
        <v>28</v>
      </c>
      <c r="J14" s="140"/>
      <c r="K14" s="140"/>
      <c r="L14" s="140"/>
      <c r="M14" s="141"/>
      <c r="N14" s="165"/>
      <c r="O14" s="28" t="s">
        <v>28</v>
      </c>
      <c r="P14" s="164"/>
      <c r="Q14" s="29" t="s">
        <v>29</v>
      </c>
      <c r="R14" s="142" t="s">
        <v>30</v>
      </c>
      <c r="S14" s="143"/>
      <c r="T14" s="132"/>
      <c r="U14" s="118"/>
      <c r="V14" s="22" t="s">
        <v>31</v>
      </c>
    </row>
    <row r="15" spans="1:34" ht="22.5" customHeight="1">
      <c r="A15" s="160"/>
      <c r="B15" s="118"/>
      <c r="C15" s="118"/>
      <c r="D15" s="118"/>
      <c r="E15" s="118"/>
      <c r="F15" s="134"/>
      <c r="G15" s="136"/>
      <c r="H15" s="138"/>
      <c r="I15" s="144" t="s">
        <v>32</v>
      </c>
      <c r="J15" s="145"/>
      <c r="K15" s="145"/>
      <c r="L15" s="145"/>
      <c r="M15" s="145"/>
      <c r="N15" s="145"/>
      <c r="O15" s="145"/>
      <c r="P15" s="145"/>
      <c r="Q15" s="145"/>
      <c r="R15" s="145"/>
      <c r="S15" s="146"/>
      <c r="T15" s="132"/>
      <c r="U15" s="118"/>
      <c r="V15" s="22"/>
    </row>
    <row r="16" spans="1:34" ht="36" customHeight="1" thickBot="1">
      <c r="A16" s="160"/>
      <c r="B16" s="118"/>
      <c r="C16" s="118"/>
      <c r="D16" s="118"/>
      <c r="E16" s="118"/>
      <c r="F16" s="134"/>
      <c r="G16" s="136"/>
      <c r="H16" s="138"/>
      <c r="I16" s="166" t="s">
        <v>185</v>
      </c>
      <c r="J16" s="31" t="s">
        <v>186</v>
      </c>
      <c r="K16" s="32" t="s">
        <v>187</v>
      </c>
      <c r="L16" s="32" t="s">
        <v>188</v>
      </c>
      <c r="M16" s="32" t="s">
        <v>189</v>
      </c>
      <c r="N16" s="81" t="s">
        <v>182</v>
      </c>
      <c r="O16" s="82" t="s">
        <v>34</v>
      </c>
      <c r="P16" s="83" t="s">
        <v>184</v>
      </c>
      <c r="Q16" s="34" t="s">
        <v>175</v>
      </c>
      <c r="R16" s="35" t="s">
        <v>176</v>
      </c>
      <c r="S16" s="32" t="s">
        <v>129</v>
      </c>
      <c r="T16" s="132"/>
      <c r="U16" s="118"/>
      <c r="V16" s="22"/>
    </row>
    <row r="17" spans="1:22" ht="26.4" customHeight="1">
      <c r="A17" s="155">
        <v>1</v>
      </c>
      <c r="B17" s="157" t="s">
        <v>123</v>
      </c>
      <c r="C17" s="153" t="s">
        <v>124</v>
      </c>
      <c r="D17" s="147">
        <v>45888</v>
      </c>
      <c r="E17" s="37" t="s">
        <v>102</v>
      </c>
      <c r="F17" s="147">
        <v>45887</v>
      </c>
      <c r="G17" s="149">
        <v>6</v>
      </c>
      <c r="H17" s="151">
        <v>2523000029</v>
      </c>
      <c r="I17" s="38">
        <v>0.23</v>
      </c>
      <c r="J17" s="39" t="s">
        <v>62</v>
      </c>
      <c r="K17" s="39" t="s">
        <v>62</v>
      </c>
      <c r="L17" s="40" t="s">
        <v>62</v>
      </c>
      <c r="M17" s="39">
        <v>26.9</v>
      </c>
      <c r="N17" s="39" t="s">
        <v>62</v>
      </c>
      <c r="O17" s="40">
        <v>29.4</v>
      </c>
      <c r="P17" s="40"/>
      <c r="Q17" s="41" t="s">
        <v>62</v>
      </c>
      <c r="R17" s="42" t="s">
        <v>62</v>
      </c>
      <c r="S17" s="42" t="s">
        <v>62</v>
      </c>
      <c r="T17" s="43" t="s">
        <v>38</v>
      </c>
      <c r="U17" s="37"/>
      <c r="V17" s="47" t="s">
        <v>130</v>
      </c>
    </row>
    <row r="18" spans="1:22" ht="30.6" customHeight="1" thickBot="1">
      <c r="A18" s="156"/>
      <c r="B18" s="158"/>
      <c r="C18" s="154"/>
      <c r="D18" s="148"/>
      <c r="E18" s="44" t="s">
        <v>125</v>
      </c>
      <c r="F18" s="148"/>
      <c r="G18" s="150"/>
      <c r="H18" s="152"/>
      <c r="I18" s="44">
        <v>0.22</v>
      </c>
      <c r="J18" s="51">
        <v>1.33</v>
      </c>
      <c r="K18" s="50">
        <v>8.4600000000000009</v>
      </c>
      <c r="L18" s="50">
        <v>11.34</v>
      </c>
      <c r="M18" s="50">
        <v>23.4</v>
      </c>
      <c r="N18" s="50">
        <f>(L18/(L18+K18+J18))*100</f>
        <v>53.667770941788916</v>
      </c>
      <c r="O18" s="52">
        <v>27.5</v>
      </c>
      <c r="P18" s="52">
        <f>O18/M18</f>
        <v>1.1752136752136753</v>
      </c>
      <c r="Q18" s="53">
        <v>18300</v>
      </c>
      <c r="R18" s="51">
        <v>75</v>
      </c>
      <c r="S18" s="51">
        <v>104</v>
      </c>
      <c r="T18" s="54" t="s">
        <v>38</v>
      </c>
      <c r="U18" s="45"/>
      <c r="V18" s="48" t="s">
        <v>130</v>
      </c>
    </row>
    <row r="19" spans="1:22" ht="21" customHeight="1">
      <c r="A19" s="155"/>
      <c r="B19" s="157"/>
      <c r="C19" s="153"/>
      <c r="D19" s="147"/>
      <c r="E19" s="37"/>
      <c r="F19" s="147"/>
      <c r="G19" s="149"/>
      <c r="H19" s="151"/>
      <c r="I19" s="38"/>
      <c r="J19" s="39"/>
      <c r="K19" s="39"/>
      <c r="L19" s="40"/>
      <c r="M19" s="39"/>
      <c r="N19" s="39"/>
      <c r="O19" s="40"/>
      <c r="P19" s="40"/>
      <c r="Q19" s="41"/>
      <c r="R19" s="42"/>
      <c r="S19" s="42"/>
      <c r="T19" s="43"/>
      <c r="U19" s="37"/>
      <c r="V19" s="47"/>
    </row>
    <row r="20" spans="1:22" ht="21" customHeight="1" thickBot="1">
      <c r="A20" s="156"/>
      <c r="B20" s="158"/>
      <c r="C20" s="154"/>
      <c r="D20" s="148"/>
      <c r="E20" s="44"/>
      <c r="F20" s="148"/>
      <c r="G20" s="150"/>
      <c r="H20" s="152"/>
      <c r="I20" s="44"/>
      <c r="J20" s="51"/>
      <c r="K20" s="50"/>
      <c r="L20" s="50"/>
      <c r="M20" s="50"/>
      <c r="N20" s="50"/>
      <c r="O20" s="52"/>
      <c r="P20" s="52"/>
      <c r="Q20" s="53"/>
      <c r="R20" s="51"/>
      <c r="S20" s="51"/>
      <c r="T20" s="54"/>
      <c r="U20" s="45"/>
      <c r="V20" s="48"/>
    </row>
    <row r="21" spans="1:22" ht="20.100000000000001" customHeight="1"/>
    <row r="22" spans="1:22" ht="20.100000000000001" customHeight="1"/>
    <row r="23" spans="1:22" ht="20.100000000000001" customHeight="1"/>
    <row r="24" spans="1:22" ht="20.100000000000001" customHeight="1"/>
    <row r="25" spans="1:22" ht="20.100000000000001" customHeight="1">
      <c r="E25" s="10"/>
      <c r="F25" s="10"/>
      <c r="H25"/>
    </row>
    <row r="26" spans="1:22" ht="20.100000000000001" customHeight="1">
      <c r="E26" s="10"/>
      <c r="F26" s="12"/>
    </row>
    <row r="27" spans="1:22" ht="20.100000000000001" customHeight="1"/>
    <row r="28" spans="1:22" ht="20.100000000000001" customHeight="1"/>
    <row r="29" spans="1:22" ht="20.100000000000001" customHeight="1"/>
    <row r="30" spans="1:22" ht="20.100000000000001" customHeight="1"/>
    <row r="31" spans="1:22" ht="20.100000000000001" customHeight="1"/>
    <row r="32" spans="1:2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spans="34:34" ht="20.100000000000001" customHeight="1"/>
    <row r="338" spans="34:34" ht="20.100000000000001" customHeight="1"/>
    <row r="339" spans="34:34" ht="20.100000000000001" customHeight="1"/>
    <row r="340" spans="34:34" ht="20.100000000000001" customHeight="1"/>
    <row r="341" spans="34:34" ht="20.100000000000001" customHeight="1"/>
    <row r="342" spans="34:34" ht="20.100000000000001" customHeight="1"/>
    <row r="343" spans="34:34" ht="20.100000000000001" customHeight="1">
      <c r="AH343" s="1" t="s">
        <v>39</v>
      </c>
    </row>
  </sheetData>
  <autoFilter ref="A12:V18" xr:uid="{2023D5D9-0A37-4427-912B-90F76B223594}"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7" showButton="0"/>
  </autoFilter>
  <mergeCells count="46">
    <mergeCell ref="A1:D2"/>
    <mergeCell ref="E1:V2"/>
    <mergeCell ref="A3:C4"/>
    <mergeCell ref="D3:E4"/>
    <mergeCell ref="F3:H4"/>
    <mergeCell ref="I3:L4"/>
    <mergeCell ref="M3:T4"/>
    <mergeCell ref="U3:V4"/>
    <mergeCell ref="F12:H13"/>
    <mergeCell ref="F14:F16"/>
    <mergeCell ref="G14:G16"/>
    <mergeCell ref="H14:H16"/>
    <mergeCell ref="D5:V5"/>
    <mergeCell ref="D6:V6"/>
    <mergeCell ref="A7:V7"/>
    <mergeCell ref="H8:V8"/>
    <mergeCell ref="H9:V9"/>
    <mergeCell ref="H10:V10"/>
    <mergeCell ref="A12:A16"/>
    <mergeCell ref="B12:B16"/>
    <mergeCell ref="C12:C16"/>
    <mergeCell ref="D12:D16"/>
    <mergeCell ref="E12:E16"/>
    <mergeCell ref="I12:P12"/>
    <mergeCell ref="R12:S12"/>
    <mergeCell ref="T12:T16"/>
    <mergeCell ref="U12:U16"/>
    <mergeCell ref="N13:N14"/>
    <mergeCell ref="P13:P14"/>
    <mergeCell ref="I14:M14"/>
    <mergeCell ref="R14:S14"/>
    <mergeCell ref="I15:S15"/>
    <mergeCell ref="H17:H18"/>
    <mergeCell ref="A19:A20"/>
    <mergeCell ref="B19:B20"/>
    <mergeCell ref="C19:C20"/>
    <mergeCell ref="D19:D20"/>
    <mergeCell ref="F19:F20"/>
    <mergeCell ref="G19:G20"/>
    <mergeCell ref="H19:H20"/>
    <mergeCell ref="A17:A18"/>
    <mergeCell ref="B17:B18"/>
    <mergeCell ref="C17:C18"/>
    <mergeCell ref="D17:D18"/>
    <mergeCell ref="F17:F18"/>
    <mergeCell ref="G17:G18"/>
  </mergeCells>
  <conditionalFormatting sqref="I17:I20">
    <cfRule type="cellIs" dxfId="203" priority="11" operator="lessThan">
      <formula>0.25</formula>
    </cfRule>
  </conditionalFormatting>
  <conditionalFormatting sqref="J3:J11 J13:J16 J21:J1048576">
    <cfRule type="cellIs" dxfId="202" priority="19" operator="between">
      <formula>0</formula>
      <formula>1.5</formula>
    </cfRule>
  </conditionalFormatting>
  <conditionalFormatting sqref="K17:K20">
    <cfRule type="cellIs" dxfId="201" priority="10" operator="lessThan">
      <formula>8</formula>
    </cfRule>
  </conditionalFormatting>
  <conditionalFormatting sqref="K3:L11 K13:L16 K21:L1048576">
    <cfRule type="cellIs" dxfId="200" priority="20" operator="between">
      <formula>0</formula>
      <formula>7.5</formula>
    </cfRule>
  </conditionalFormatting>
  <conditionalFormatting sqref="L17:L20">
    <cfRule type="cellIs" dxfId="199" priority="9" operator="lessThan">
      <formula>13</formula>
    </cfRule>
  </conditionalFormatting>
  <conditionalFormatting sqref="M3:N11 M13:N13 M14 M15:N16 M21:N1048576">
    <cfRule type="cellIs" dxfId="198" priority="18" operator="between">
      <formula>0</formula>
      <formula>16.5</formula>
    </cfRule>
  </conditionalFormatting>
  <conditionalFormatting sqref="M18:O18 M17:P17 M19:P20">
    <cfRule type="cellIs" dxfId="197" priority="8" operator="lessThan">
      <formula>21</formula>
    </cfRule>
  </conditionalFormatting>
  <conditionalFormatting sqref="N18">
    <cfRule type="cellIs" dxfId="196" priority="2" operator="lessThan">
      <formula>50</formula>
    </cfRule>
  </conditionalFormatting>
  <conditionalFormatting sqref="O3:P11 O13:P13 O14 O15:P16 O21:P1048576">
    <cfRule type="cellIs" dxfId="195" priority="17" operator="between">
      <formula>0</formula>
      <formula>25</formula>
    </cfRule>
  </conditionalFormatting>
  <conditionalFormatting sqref="P18">
    <cfRule type="cellIs" dxfId="194" priority="1" operator="lessThan">
      <formula>1.2</formula>
    </cfRule>
  </conditionalFormatting>
  <conditionalFormatting sqref="Q3:Q16 Q21:Q1048576">
    <cfRule type="cellIs" priority="16" operator="between">
      <formula>0</formula>
      <formula>8000</formula>
    </cfRule>
  </conditionalFormatting>
  <conditionalFormatting sqref="Q17:Q20">
    <cfRule type="cellIs" dxfId="193" priority="7" operator="lessThan">
      <formula>10000</formula>
    </cfRule>
  </conditionalFormatting>
  <conditionalFormatting sqref="R3:R16 R21:R1048576">
    <cfRule type="cellIs" dxfId="192" priority="15" operator="between">
      <formula>0</formula>
      <formula>19</formula>
    </cfRule>
  </conditionalFormatting>
  <conditionalFormatting sqref="R17:R20">
    <cfRule type="cellIs" dxfId="191" priority="5" operator="lessThan">
      <formula>10</formula>
    </cfRule>
    <cfRule type="cellIs" dxfId="190" priority="6" operator="greaterThan">
      <formula>90</formula>
    </cfRule>
  </conditionalFormatting>
  <conditionalFormatting sqref="S3:S16 S21:S1048576">
    <cfRule type="cellIs" dxfId="189" priority="14" operator="between">
      <formula>0</formula>
      <formula>99</formula>
    </cfRule>
  </conditionalFormatting>
  <conditionalFormatting sqref="S17:S20">
    <cfRule type="cellIs" dxfId="188" priority="3" operator="lessThan">
      <formula>110</formula>
    </cfRule>
    <cfRule type="cellIs" dxfId="187" priority="4" operator="greaterThan">
      <formula>200</formula>
    </cfRule>
  </conditionalFormatting>
  <conditionalFormatting sqref="T3:T1048576">
    <cfRule type="cellIs" dxfId="186" priority="12" operator="between">
      <formula>"FAIL"</formula>
      <formula>"FAIL"</formula>
    </cfRule>
    <cfRule type="cellIs" dxfId="185" priority="13" operator="between">
      <formula>"PASS"</formula>
      <formula>"PASS"</formula>
    </cfRule>
  </conditionalFormatting>
  <printOptions horizontalCentered="1"/>
  <pageMargins left="0.19685039370078741" right="0.19685039370078741" top="0.19685039370078741" bottom="0.19685039370078741" header="0.11811023622047245" footer="0.15748031496062992"/>
  <pageSetup scale="31" orientation="landscape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B5AA-075A-4BE2-9D66-43ED8C304DD7}">
  <dimension ref="A1:AF343"/>
  <sheetViews>
    <sheetView view="pageBreakPreview" zoomScale="80" zoomScaleNormal="100" zoomScaleSheetLayoutView="80" workbookViewId="0">
      <pane ySplit="16" topLeftCell="A17" activePane="bottomLeft" state="frozen"/>
      <selection pane="bottomLeft" activeCell="O16" sqref="O16"/>
    </sheetView>
  </sheetViews>
  <sheetFormatPr baseColWidth="10" defaultColWidth="9.33203125" defaultRowHeight="10.199999999999999"/>
  <cols>
    <col min="1" max="1" width="5.33203125" style="1" customWidth="1"/>
    <col min="2" max="2" width="16.6640625" style="1" customWidth="1"/>
    <col min="3" max="3" width="17.6640625" style="1" customWidth="1"/>
    <col min="4" max="4" width="14.6640625" style="1" customWidth="1"/>
    <col min="5" max="5" width="11" style="1" customWidth="1"/>
    <col min="6" max="6" width="11.33203125" style="1" customWidth="1"/>
    <col min="7" max="7" width="6.6640625" style="1" customWidth="1"/>
    <col min="8" max="8" width="11.33203125" style="1" customWidth="1"/>
    <col min="9" max="9" width="8.44140625" style="1" customWidth="1"/>
    <col min="10" max="10" width="5.33203125" style="1" customWidth="1"/>
    <col min="11" max="11" width="6.109375" style="1" customWidth="1"/>
    <col min="12" max="12" width="11.6640625" style="1" customWidth="1"/>
    <col min="13" max="13" width="9" style="1" customWidth="1"/>
    <col min="14" max="14" width="5.33203125" style="1" customWidth="1"/>
    <col min="15" max="15" width="10.88671875" style="1" customWidth="1"/>
    <col min="16" max="17" width="6.109375" style="1" customWidth="1"/>
    <col min="18" max="18" width="9.88671875" style="1" customWidth="1"/>
    <col min="19" max="19" width="14.88671875" style="46" customWidth="1"/>
    <col min="20" max="20" width="33" style="46" customWidth="1"/>
    <col min="21" max="16384" width="9.33203125" style="1"/>
  </cols>
  <sheetData>
    <row r="1" spans="1:32" ht="21" customHeight="1">
      <c r="A1" s="88" t="s">
        <v>40</v>
      </c>
      <c r="B1" s="89"/>
      <c r="C1" s="89"/>
      <c r="D1" s="90"/>
      <c r="E1" s="94" t="s">
        <v>0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6"/>
    </row>
    <row r="2" spans="1:32" ht="29.25" customHeight="1" thickBot="1">
      <c r="A2" s="91"/>
      <c r="B2" s="92"/>
      <c r="C2" s="92"/>
      <c r="D2" s="93"/>
      <c r="E2" s="97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9"/>
    </row>
    <row r="3" spans="1:32" ht="22.5" customHeight="1">
      <c r="A3" s="100" t="s">
        <v>41</v>
      </c>
      <c r="B3" s="101"/>
      <c r="C3" s="102"/>
      <c r="D3" s="100" t="s">
        <v>42</v>
      </c>
      <c r="E3" s="102"/>
      <c r="F3" s="100" t="s">
        <v>43</v>
      </c>
      <c r="G3" s="101"/>
      <c r="H3" s="102"/>
      <c r="I3" s="100" t="s">
        <v>44</v>
      </c>
      <c r="J3" s="101"/>
      <c r="K3" s="101"/>
      <c r="L3" s="102"/>
      <c r="M3" s="100" t="s">
        <v>1</v>
      </c>
      <c r="N3" s="101"/>
      <c r="O3" s="101"/>
      <c r="P3" s="101"/>
      <c r="Q3" s="101"/>
      <c r="R3" s="101"/>
      <c r="S3" s="106" t="s">
        <v>2</v>
      </c>
      <c r="T3" s="107"/>
    </row>
    <row r="4" spans="1:32" ht="23.25" customHeight="1" thickBot="1">
      <c r="A4" s="103"/>
      <c r="B4" s="104"/>
      <c r="C4" s="105"/>
      <c r="D4" s="103"/>
      <c r="E4" s="105"/>
      <c r="F4" s="103"/>
      <c r="G4" s="104"/>
      <c r="H4" s="105"/>
      <c r="I4" s="103"/>
      <c r="J4" s="104"/>
      <c r="K4" s="104"/>
      <c r="L4" s="105"/>
      <c r="M4" s="103"/>
      <c r="N4" s="104"/>
      <c r="O4" s="104"/>
      <c r="P4" s="104"/>
      <c r="Q4" s="104"/>
      <c r="R4" s="104"/>
      <c r="S4" s="108"/>
      <c r="T4" s="109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5.75" customHeight="1">
      <c r="A5" s="3"/>
      <c r="B5" s="3"/>
      <c r="C5" s="3"/>
      <c r="D5" s="110" t="s">
        <v>3</v>
      </c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</row>
    <row r="6" spans="1:32" ht="9.75" customHeight="1" thickBot="1">
      <c r="A6" s="4"/>
      <c r="B6" s="4"/>
      <c r="C6" s="4"/>
      <c r="D6" s="111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</row>
    <row r="7" spans="1:32" ht="16.5" customHeight="1" thickBot="1">
      <c r="A7" s="113" t="s">
        <v>4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</row>
    <row r="8" spans="1:32" ht="11.25" customHeight="1">
      <c r="A8" s="5"/>
      <c r="B8" s="6"/>
      <c r="C8" s="6"/>
      <c r="D8" s="7"/>
      <c r="E8" s="7"/>
      <c r="F8" s="7"/>
      <c r="G8" s="8"/>
      <c r="H8" s="114" t="s">
        <v>5</v>
      </c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6"/>
    </row>
    <row r="9" spans="1:32" ht="12" customHeight="1">
      <c r="A9" s="9"/>
      <c r="B9" s="49"/>
      <c r="C9" s="10" t="s">
        <v>146</v>
      </c>
      <c r="D9" s="10"/>
      <c r="E9" s="10"/>
      <c r="F9" s="10"/>
      <c r="G9" s="11"/>
      <c r="H9" s="85" t="s">
        <v>6</v>
      </c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7"/>
    </row>
    <row r="10" spans="1:32" ht="12" customHeight="1">
      <c r="A10" s="9"/>
      <c r="B10" s="49"/>
      <c r="C10" s="10" t="s">
        <v>147</v>
      </c>
      <c r="D10" s="12"/>
      <c r="E10" s="13"/>
      <c r="F10" s="13"/>
      <c r="G10" s="14"/>
      <c r="H10" s="85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7"/>
    </row>
    <row r="11" spans="1:32" ht="10.8" thickBot="1">
      <c r="A11" s="15"/>
      <c r="B11" s="19"/>
      <c r="C11" s="16"/>
      <c r="D11" s="17"/>
      <c r="E11" s="16"/>
      <c r="F11" s="16"/>
      <c r="G11" s="18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20"/>
    </row>
    <row r="12" spans="1:32" ht="34.5" customHeight="1" thickBot="1">
      <c r="A12" s="159" t="s">
        <v>7</v>
      </c>
      <c r="B12" s="117" t="s">
        <v>61</v>
      </c>
      <c r="C12" s="117" t="s">
        <v>77</v>
      </c>
      <c r="D12" s="117" t="s">
        <v>8</v>
      </c>
      <c r="E12" s="117" t="s">
        <v>9</v>
      </c>
      <c r="F12" s="119" t="s">
        <v>10</v>
      </c>
      <c r="G12" s="120"/>
      <c r="H12" s="121"/>
      <c r="I12" s="125" t="s">
        <v>11</v>
      </c>
      <c r="J12" s="126"/>
      <c r="K12" s="126"/>
      <c r="L12" s="126"/>
      <c r="M12" s="126"/>
      <c r="N12" s="127"/>
      <c r="O12" s="21" t="s">
        <v>12</v>
      </c>
      <c r="P12" s="128" t="s">
        <v>13</v>
      </c>
      <c r="Q12" s="129"/>
      <c r="R12" s="100" t="s">
        <v>14</v>
      </c>
      <c r="S12" s="117" t="s">
        <v>15</v>
      </c>
      <c r="T12" s="21"/>
    </row>
    <row r="13" spans="1:32" ht="23.25" customHeight="1" thickBot="1">
      <c r="A13" s="160"/>
      <c r="B13" s="118"/>
      <c r="C13" s="118"/>
      <c r="D13" s="118"/>
      <c r="E13" s="118"/>
      <c r="F13" s="122"/>
      <c r="G13" s="123"/>
      <c r="H13" s="124"/>
      <c r="I13" s="23" t="s">
        <v>16</v>
      </c>
      <c r="J13" s="24" t="s">
        <v>17</v>
      </c>
      <c r="K13" s="24" t="s">
        <v>18</v>
      </c>
      <c r="L13" s="24" t="s">
        <v>19</v>
      </c>
      <c r="M13" s="24" t="s">
        <v>20</v>
      </c>
      <c r="N13" s="25" t="s">
        <v>21</v>
      </c>
      <c r="O13" s="22" t="s">
        <v>22</v>
      </c>
      <c r="P13" s="26" t="s">
        <v>23</v>
      </c>
      <c r="Q13" s="64" t="s">
        <v>24</v>
      </c>
      <c r="R13" s="132"/>
      <c r="S13" s="118"/>
      <c r="T13" s="22"/>
      <c r="Y13" s="1" t="s">
        <v>25</v>
      </c>
    </row>
    <row r="14" spans="1:32" ht="22.5" customHeight="1">
      <c r="A14" s="160"/>
      <c r="B14" s="118"/>
      <c r="C14" s="118"/>
      <c r="D14" s="118"/>
      <c r="E14" s="118"/>
      <c r="F14" s="133" t="s">
        <v>26</v>
      </c>
      <c r="G14" s="135" t="s">
        <v>27</v>
      </c>
      <c r="H14" s="137" t="s">
        <v>85</v>
      </c>
      <c r="I14" s="139" t="s">
        <v>28</v>
      </c>
      <c r="J14" s="140"/>
      <c r="K14" s="140"/>
      <c r="L14" s="140"/>
      <c r="M14" s="141"/>
      <c r="N14" s="28" t="s">
        <v>28</v>
      </c>
      <c r="O14" s="29" t="s">
        <v>29</v>
      </c>
      <c r="P14" s="142" t="s">
        <v>30</v>
      </c>
      <c r="Q14" s="143"/>
      <c r="R14" s="132"/>
      <c r="S14" s="118"/>
      <c r="T14" s="22" t="s">
        <v>31</v>
      </c>
    </row>
    <row r="15" spans="1:32" ht="22.5" customHeight="1">
      <c r="A15" s="160"/>
      <c r="B15" s="118"/>
      <c r="C15" s="118"/>
      <c r="D15" s="118"/>
      <c r="E15" s="118"/>
      <c r="F15" s="134"/>
      <c r="G15" s="136"/>
      <c r="H15" s="138"/>
      <c r="I15" s="144" t="s">
        <v>32</v>
      </c>
      <c r="J15" s="145"/>
      <c r="K15" s="145"/>
      <c r="L15" s="145"/>
      <c r="M15" s="145"/>
      <c r="N15" s="145"/>
      <c r="O15" s="145"/>
      <c r="P15" s="145"/>
      <c r="Q15" s="146"/>
      <c r="R15" s="132"/>
      <c r="S15" s="118"/>
      <c r="T15" s="22"/>
    </row>
    <row r="16" spans="1:32" ht="36" customHeight="1" thickBot="1">
      <c r="A16" s="160"/>
      <c r="B16" s="118"/>
      <c r="C16" s="118"/>
      <c r="D16" s="118"/>
      <c r="E16" s="118"/>
      <c r="F16" s="134"/>
      <c r="G16" s="136"/>
      <c r="H16" s="138"/>
      <c r="I16" s="30" t="s">
        <v>119</v>
      </c>
      <c r="J16" s="31" t="s">
        <v>122</v>
      </c>
      <c r="K16" s="32" t="s">
        <v>121</v>
      </c>
      <c r="L16" s="32" t="s">
        <v>120</v>
      </c>
      <c r="M16" s="32" t="s">
        <v>33</v>
      </c>
      <c r="N16" s="33" t="s">
        <v>34</v>
      </c>
      <c r="O16" s="34" t="s">
        <v>35</v>
      </c>
      <c r="P16" s="35" t="s">
        <v>36</v>
      </c>
      <c r="Q16" s="32" t="s">
        <v>37</v>
      </c>
      <c r="R16" s="132"/>
      <c r="S16" s="118"/>
      <c r="T16" s="22"/>
    </row>
    <row r="17" spans="1:20" ht="20.100000000000001" customHeight="1">
      <c r="A17" s="155">
        <v>1</v>
      </c>
      <c r="B17" s="157" t="s">
        <v>110</v>
      </c>
      <c r="C17" s="153" t="s">
        <v>111</v>
      </c>
      <c r="D17" s="147">
        <v>45887</v>
      </c>
      <c r="E17" s="37" t="s">
        <v>112</v>
      </c>
      <c r="F17" s="147">
        <v>45887</v>
      </c>
      <c r="G17" s="149">
        <v>3</v>
      </c>
      <c r="H17" s="151">
        <v>2523000003</v>
      </c>
      <c r="I17" s="38">
        <v>0.31</v>
      </c>
      <c r="J17" s="39" t="s">
        <v>62</v>
      </c>
      <c r="K17" s="39" t="s">
        <v>62</v>
      </c>
      <c r="L17" s="40" t="s">
        <v>62</v>
      </c>
      <c r="M17" s="39">
        <v>29.3</v>
      </c>
      <c r="N17" s="40">
        <v>32.299999999999997</v>
      </c>
      <c r="O17" s="41" t="s">
        <v>62</v>
      </c>
      <c r="P17" s="42" t="s">
        <v>62</v>
      </c>
      <c r="Q17" s="42" t="s">
        <v>62</v>
      </c>
      <c r="R17" s="43" t="s">
        <v>79</v>
      </c>
      <c r="S17" s="37"/>
      <c r="T17" s="47" t="s">
        <v>63</v>
      </c>
    </row>
    <row r="18" spans="1:20" ht="20.100000000000001" customHeight="1" thickBot="1">
      <c r="A18" s="156"/>
      <c r="B18" s="158"/>
      <c r="C18" s="154"/>
      <c r="D18" s="148"/>
      <c r="E18" s="44" t="s">
        <v>113</v>
      </c>
      <c r="F18" s="148"/>
      <c r="G18" s="150"/>
      <c r="H18" s="152"/>
      <c r="I18" s="44">
        <v>0.22</v>
      </c>
      <c r="J18" s="51">
        <v>1.54</v>
      </c>
      <c r="K18" s="50">
        <v>13.96</v>
      </c>
      <c r="L18" s="50">
        <v>15.09</v>
      </c>
      <c r="M18" s="50">
        <v>28.3</v>
      </c>
      <c r="N18" s="52">
        <v>27.5</v>
      </c>
      <c r="O18" s="53">
        <v>15200</v>
      </c>
      <c r="P18" s="51">
        <v>26</v>
      </c>
      <c r="Q18" s="51">
        <v>104</v>
      </c>
      <c r="R18" s="54" t="s">
        <v>79</v>
      </c>
      <c r="S18" s="45"/>
      <c r="T18" s="48" t="s">
        <v>63</v>
      </c>
    </row>
    <row r="19" spans="1:20" ht="20.100000000000001" customHeight="1">
      <c r="A19" s="155">
        <v>2</v>
      </c>
      <c r="B19" s="157" t="s">
        <v>114</v>
      </c>
      <c r="C19" s="153" t="s">
        <v>115</v>
      </c>
      <c r="D19" s="147">
        <v>45888</v>
      </c>
      <c r="E19" s="37" t="s">
        <v>117</v>
      </c>
      <c r="F19" s="147" t="s">
        <v>116</v>
      </c>
      <c r="G19" s="149">
        <v>12</v>
      </c>
      <c r="H19" s="151">
        <v>2517600054</v>
      </c>
      <c r="I19" s="38">
        <v>0.31</v>
      </c>
      <c r="J19" s="39">
        <v>1.55</v>
      </c>
      <c r="K19" s="39">
        <v>7.6</v>
      </c>
      <c r="L19" s="40">
        <v>8.02</v>
      </c>
      <c r="M19" s="39">
        <v>16.600000000000001</v>
      </c>
      <c r="N19" s="40">
        <v>31.1</v>
      </c>
      <c r="O19" s="41">
        <v>30500</v>
      </c>
      <c r="P19" s="42">
        <v>41</v>
      </c>
      <c r="Q19" s="42">
        <v>176</v>
      </c>
      <c r="R19" s="43" t="s">
        <v>79</v>
      </c>
      <c r="S19" s="37"/>
      <c r="T19" s="47" t="s">
        <v>63</v>
      </c>
    </row>
    <row r="20" spans="1:20" ht="20.100000000000001" customHeight="1" thickBot="1">
      <c r="A20" s="156"/>
      <c r="B20" s="158"/>
      <c r="C20" s="154"/>
      <c r="D20" s="148"/>
      <c r="E20" s="44" t="s">
        <v>118</v>
      </c>
      <c r="F20" s="148"/>
      <c r="G20" s="150"/>
      <c r="H20" s="152"/>
      <c r="I20" s="44">
        <v>0.35</v>
      </c>
      <c r="J20" s="51" t="s">
        <v>62</v>
      </c>
      <c r="K20" s="50" t="s">
        <v>62</v>
      </c>
      <c r="L20" s="50" t="s">
        <v>62</v>
      </c>
      <c r="M20" s="50">
        <v>18.899999999999999</v>
      </c>
      <c r="N20" s="52">
        <v>34.700000000000003</v>
      </c>
      <c r="O20" s="53" t="s">
        <v>62</v>
      </c>
      <c r="P20" s="51" t="s">
        <v>62</v>
      </c>
      <c r="Q20" s="51" t="s">
        <v>62</v>
      </c>
      <c r="R20" s="54" t="s">
        <v>79</v>
      </c>
      <c r="S20" s="45"/>
      <c r="T20" s="48" t="s">
        <v>63</v>
      </c>
    </row>
    <row r="21" spans="1:20" ht="20.100000000000001" customHeight="1"/>
    <row r="22" spans="1:20" ht="20.100000000000001" customHeight="1"/>
    <row r="23" spans="1:20" ht="20.100000000000001" customHeight="1"/>
    <row r="24" spans="1:20" ht="20.100000000000001" customHeight="1"/>
    <row r="25" spans="1:20" ht="20.100000000000001" customHeight="1">
      <c r="H25"/>
    </row>
    <row r="26" spans="1:20" ht="20.100000000000001" customHeight="1"/>
    <row r="27" spans="1:20" ht="20.100000000000001" customHeight="1"/>
    <row r="28" spans="1:20" ht="20.100000000000001" customHeight="1"/>
    <row r="29" spans="1:20" ht="20.100000000000001" customHeight="1"/>
    <row r="30" spans="1:20" ht="20.100000000000001" customHeight="1"/>
    <row r="31" spans="1:20" ht="20.100000000000001" customHeight="1"/>
    <row r="32" spans="1:20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spans="32:32" ht="20.100000000000001" customHeight="1"/>
    <row r="338" spans="32:32" ht="20.100000000000001" customHeight="1"/>
    <row r="339" spans="32:32" ht="20.100000000000001" customHeight="1"/>
    <row r="340" spans="32:32" ht="20.100000000000001" customHeight="1"/>
    <row r="341" spans="32:32" ht="20.100000000000001" customHeight="1"/>
    <row r="342" spans="32:32" ht="20.100000000000001" customHeight="1"/>
    <row r="343" spans="32:32" ht="20.100000000000001" customHeight="1">
      <c r="AF343" s="1" t="s">
        <v>39</v>
      </c>
    </row>
  </sheetData>
  <autoFilter ref="A12:T18" xr:uid="{2023D5D9-0A37-4427-912B-90F76B223594}"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2" showButton="0"/>
    <filterColumn colId="15" showButton="0"/>
  </autoFilter>
  <mergeCells count="44">
    <mergeCell ref="H10:T10"/>
    <mergeCell ref="A1:D2"/>
    <mergeCell ref="E1:U2"/>
    <mergeCell ref="A3:C4"/>
    <mergeCell ref="D3:E4"/>
    <mergeCell ref="F3:H4"/>
    <mergeCell ref="I3:L4"/>
    <mergeCell ref="M3:R4"/>
    <mergeCell ref="S3:T4"/>
    <mergeCell ref="D5:T5"/>
    <mergeCell ref="D6:T6"/>
    <mergeCell ref="A7:T7"/>
    <mergeCell ref="H8:T8"/>
    <mergeCell ref="H9:T9"/>
    <mergeCell ref="I12:N12"/>
    <mergeCell ref="P12:Q12"/>
    <mergeCell ref="R12:R16"/>
    <mergeCell ref="S12:S16"/>
    <mergeCell ref="F14:F16"/>
    <mergeCell ref="G14:G16"/>
    <mergeCell ref="H14:H16"/>
    <mergeCell ref="I14:M14"/>
    <mergeCell ref="P14:Q14"/>
    <mergeCell ref="F12:H13"/>
    <mergeCell ref="I15:Q15"/>
    <mergeCell ref="G17:G18"/>
    <mergeCell ref="H17:H18"/>
    <mergeCell ref="A12:A16"/>
    <mergeCell ref="B12:B16"/>
    <mergeCell ref="C12:C16"/>
    <mergeCell ref="D12:D16"/>
    <mergeCell ref="E12:E16"/>
    <mergeCell ref="A17:A18"/>
    <mergeCell ref="B17:B18"/>
    <mergeCell ref="C17:C18"/>
    <mergeCell ref="D17:D18"/>
    <mergeCell ref="F17:F18"/>
    <mergeCell ref="H19:H20"/>
    <mergeCell ref="A19:A20"/>
    <mergeCell ref="B19:B20"/>
    <mergeCell ref="C19:C20"/>
    <mergeCell ref="D19:D20"/>
    <mergeCell ref="F19:F20"/>
    <mergeCell ref="G19:G20"/>
  </mergeCells>
  <conditionalFormatting sqref="I17:I20">
    <cfRule type="cellIs" dxfId="184" priority="9" operator="lessThan">
      <formula>0.2</formula>
    </cfRule>
    <cfRule type="cellIs" dxfId="183" priority="10" operator="greaterThan">
      <formula>0.5</formula>
    </cfRule>
  </conditionalFormatting>
  <conditionalFormatting sqref="J1:J16 J21:J1048576">
    <cfRule type="cellIs" dxfId="182" priority="27" operator="between">
      <formula>0</formula>
      <formula>1.5</formula>
    </cfRule>
  </conditionalFormatting>
  <conditionalFormatting sqref="J17:J20">
    <cfRule type="cellIs" dxfId="181" priority="8" operator="lessThan">
      <formula>1.5</formula>
    </cfRule>
  </conditionalFormatting>
  <conditionalFormatting sqref="K1:L16 K21:L1048576">
    <cfRule type="cellIs" dxfId="180" priority="30" operator="between">
      <formula>0</formula>
      <formula>7.5</formula>
    </cfRule>
  </conditionalFormatting>
  <conditionalFormatting sqref="K17:L20">
    <cfRule type="cellIs" dxfId="179" priority="6" operator="lessThan">
      <formula>7.5</formula>
    </cfRule>
  </conditionalFormatting>
  <conditionalFormatting sqref="M1:M16 M21:M1048576">
    <cfRule type="cellIs" dxfId="178" priority="26" operator="between">
      <formula>0</formula>
      <formula>16.5</formula>
    </cfRule>
  </conditionalFormatting>
  <conditionalFormatting sqref="M17:M20">
    <cfRule type="cellIs" dxfId="177" priority="5" operator="lessThan">
      <formula>16.5</formula>
    </cfRule>
  </conditionalFormatting>
  <conditionalFormatting sqref="N1:N16 N21:N1048576">
    <cfRule type="cellIs" dxfId="176" priority="25" operator="between">
      <formula>0</formula>
      <formula>25</formula>
    </cfRule>
  </conditionalFormatting>
  <conditionalFormatting sqref="N17:N20">
    <cfRule type="cellIs" dxfId="175" priority="4" operator="lessThan">
      <formula>25</formula>
    </cfRule>
  </conditionalFormatting>
  <conditionalFormatting sqref="O1:O16 O21:O1048576">
    <cfRule type="cellIs" priority="24" operator="between">
      <formula>0</formula>
      <formula>8000</formula>
    </cfRule>
  </conditionalFormatting>
  <conditionalFormatting sqref="O17:O20">
    <cfRule type="cellIs" dxfId="174" priority="3" operator="lessThan">
      <formula>8000</formula>
    </cfRule>
  </conditionalFormatting>
  <conditionalFormatting sqref="P1:P16 P21:P1048576">
    <cfRule type="cellIs" dxfId="173" priority="23" operator="between">
      <formula>0</formula>
      <formula>19</formula>
    </cfRule>
  </conditionalFormatting>
  <conditionalFormatting sqref="P17:P20">
    <cfRule type="cellIs" dxfId="172" priority="2" operator="lessThan">
      <formula>20</formula>
    </cfRule>
  </conditionalFormatting>
  <conditionalFormatting sqref="Q1:Q16 Q21:Q1048576">
    <cfRule type="cellIs" dxfId="171" priority="22" operator="between">
      <formula>0</formula>
      <formula>99</formula>
    </cfRule>
  </conditionalFormatting>
  <conditionalFormatting sqref="Q17:Q20">
    <cfRule type="cellIs" dxfId="170" priority="1" operator="lessThan">
      <formula>100</formula>
    </cfRule>
  </conditionalFormatting>
  <conditionalFormatting sqref="R1:R1048576">
    <cfRule type="cellIs" dxfId="169" priority="20" operator="between">
      <formula>"FAIL"</formula>
      <formula>"FAIL"</formula>
    </cfRule>
    <cfRule type="cellIs" dxfId="168" priority="21" operator="between">
      <formula>"PASS"</formula>
      <formula>"PASS"</formula>
    </cfRule>
  </conditionalFormatting>
  <printOptions horizontalCentered="1"/>
  <pageMargins left="0.19685039370078741" right="0.19685039370078741" top="0.19685039370078741" bottom="0.19685039370078741" header="0.11811023622047245" footer="0.15748031496062992"/>
  <pageSetup scale="31" orientation="landscape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BA43-8E00-4229-9E85-C882F3171B75}">
  <dimension ref="A1:AF343"/>
  <sheetViews>
    <sheetView view="pageBreakPreview" zoomScale="80" zoomScaleNormal="100" zoomScaleSheetLayoutView="80" workbookViewId="0">
      <pane ySplit="16" topLeftCell="A17" activePane="bottomLeft" state="frozen"/>
      <selection pane="bottomLeft" activeCell="O16" sqref="O16"/>
    </sheetView>
  </sheetViews>
  <sheetFormatPr baseColWidth="10" defaultColWidth="9.33203125" defaultRowHeight="10.199999999999999"/>
  <cols>
    <col min="1" max="1" width="5.33203125" style="1" customWidth="1"/>
    <col min="2" max="2" width="16.6640625" style="1" customWidth="1"/>
    <col min="3" max="3" width="17.6640625" style="1" customWidth="1"/>
    <col min="4" max="4" width="14.6640625" style="1" customWidth="1"/>
    <col min="5" max="5" width="11" style="1" customWidth="1"/>
    <col min="6" max="6" width="11.33203125" style="1" customWidth="1"/>
    <col min="7" max="7" width="6.6640625" style="1" customWidth="1"/>
    <col min="8" max="8" width="11.33203125" style="1" customWidth="1"/>
    <col min="9" max="9" width="8.44140625" style="1" customWidth="1"/>
    <col min="10" max="10" width="5.33203125" style="1" customWidth="1"/>
    <col min="11" max="11" width="12.44140625" style="1" bestFit="1" customWidth="1"/>
    <col min="12" max="12" width="11.6640625" style="1" customWidth="1"/>
    <col min="13" max="13" width="9" style="1" customWidth="1"/>
    <col min="14" max="14" width="5.33203125" style="1" customWidth="1"/>
    <col min="15" max="15" width="10.88671875" style="1" customWidth="1"/>
    <col min="16" max="16" width="8.88671875" style="1" bestFit="1" customWidth="1"/>
    <col min="17" max="17" width="10.6640625" style="1" bestFit="1" customWidth="1"/>
    <col min="18" max="18" width="9.88671875" style="1" customWidth="1"/>
    <col min="19" max="19" width="14.88671875" style="46" customWidth="1"/>
    <col min="20" max="20" width="33" style="46" customWidth="1"/>
    <col min="21" max="16384" width="9.33203125" style="1"/>
  </cols>
  <sheetData>
    <row r="1" spans="1:32" ht="21" customHeight="1">
      <c r="A1" s="88" t="s">
        <v>40</v>
      </c>
      <c r="B1" s="89"/>
      <c r="C1" s="89"/>
      <c r="D1" s="90"/>
      <c r="E1" s="94" t="s">
        <v>0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6"/>
    </row>
    <row r="2" spans="1:32" ht="29.25" customHeight="1" thickBot="1">
      <c r="A2" s="91"/>
      <c r="B2" s="92"/>
      <c r="C2" s="92"/>
      <c r="D2" s="93"/>
      <c r="E2" s="97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9"/>
    </row>
    <row r="3" spans="1:32" ht="22.5" customHeight="1">
      <c r="A3" s="100" t="s">
        <v>41</v>
      </c>
      <c r="B3" s="101"/>
      <c r="C3" s="102"/>
      <c r="D3" s="100" t="s">
        <v>42</v>
      </c>
      <c r="E3" s="102"/>
      <c r="F3" s="100" t="s">
        <v>43</v>
      </c>
      <c r="G3" s="101"/>
      <c r="H3" s="102"/>
      <c r="I3" s="100" t="s">
        <v>44</v>
      </c>
      <c r="J3" s="101"/>
      <c r="K3" s="101"/>
      <c r="L3" s="102"/>
      <c r="M3" s="100" t="s">
        <v>1</v>
      </c>
      <c r="N3" s="101"/>
      <c r="O3" s="101"/>
      <c r="P3" s="101"/>
      <c r="Q3" s="101"/>
      <c r="R3" s="101"/>
      <c r="S3" s="106" t="s">
        <v>2</v>
      </c>
      <c r="T3" s="107"/>
    </row>
    <row r="4" spans="1:32" ht="23.25" customHeight="1" thickBot="1">
      <c r="A4" s="103"/>
      <c r="B4" s="104"/>
      <c r="C4" s="105"/>
      <c r="D4" s="103"/>
      <c r="E4" s="105"/>
      <c r="F4" s="103"/>
      <c r="G4" s="104"/>
      <c r="H4" s="105"/>
      <c r="I4" s="103"/>
      <c r="J4" s="104"/>
      <c r="K4" s="104"/>
      <c r="L4" s="105"/>
      <c r="M4" s="103"/>
      <c r="N4" s="104"/>
      <c r="O4" s="104"/>
      <c r="P4" s="104"/>
      <c r="Q4" s="104"/>
      <c r="R4" s="104"/>
      <c r="S4" s="108"/>
      <c r="T4" s="109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5.75" customHeight="1">
      <c r="A5" s="3"/>
      <c r="B5" s="3"/>
      <c r="C5" s="3"/>
      <c r="D5" s="110" t="s">
        <v>3</v>
      </c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</row>
    <row r="6" spans="1:32" ht="9.75" customHeight="1" thickBot="1">
      <c r="A6" s="4"/>
      <c r="B6" s="4"/>
      <c r="C6" s="4"/>
      <c r="D6" s="111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</row>
    <row r="7" spans="1:32" ht="16.5" customHeight="1" thickBot="1">
      <c r="A7" s="113" t="s">
        <v>4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</row>
    <row r="8" spans="1:32" ht="11.25" customHeight="1">
      <c r="A8" s="5"/>
      <c r="B8" s="6"/>
      <c r="C8" s="6"/>
      <c r="D8" s="7"/>
      <c r="E8" s="7"/>
      <c r="F8" s="7"/>
      <c r="G8" s="8"/>
      <c r="H8" s="114" t="s">
        <v>5</v>
      </c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6"/>
    </row>
    <row r="9" spans="1:32" ht="12" customHeight="1">
      <c r="A9" s="9"/>
      <c r="B9" s="49"/>
      <c r="C9" s="10" t="s">
        <v>148</v>
      </c>
      <c r="D9" s="10"/>
      <c r="E9" s="10"/>
      <c r="F9" s="10"/>
      <c r="G9" s="11"/>
      <c r="H9" s="85" t="s">
        <v>6</v>
      </c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7"/>
    </row>
    <row r="10" spans="1:32" ht="12" customHeight="1">
      <c r="A10" s="9"/>
      <c r="B10" s="49"/>
      <c r="C10" s="10" t="s">
        <v>149</v>
      </c>
      <c r="D10" s="12"/>
      <c r="E10" s="13"/>
      <c r="F10" s="13"/>
      <c r="G10" s="14"/>
      <c r="H10" s="85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7"/>
    </row>
    <row r="11" spans="1:32" ht="10.8" thickBot="1">
      <c r="A11" s="15"/>
      <c r="B11" s="19"/>
      <c r="C11" s="16"/>
      <c r="D11" s="17"/>
      <c r="E11" s="16"/>
      <c r="F11" s="16"/>
      <c r="G11" s="18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20"/>
    </row>
    <row r="12" spans="1:32" ht="34.5" customHeight="1" thickBot="1">
      <c r="A12" s="159" t="s">
        <v>7</v>
      </c>
      <c r="B12" s="117" t="s">
        <v>61</v>
      </c>
      <c r="C12" s="117" t="s">
        <v>77</v>
      </c>
      <c r="D12" s="117" t="s">
        <v>8</v>
      </c>
      <c r="E12" s="117" t="s">
        <v>9</v>
      </c>
      <c r="F12" s="119" t="s">
        <v>10</v>
      </c>
      <c r="G12" s="120"/>
      <c r="H12" s="121"/>
      <c r="I12" s="125" t="s">
        <v>11</v>
      </c>
      <c r="J12" s="126"/>
      <c r="K12" s="126"/>
      <c r="L12" s="126"/>
      <c r="M12" s="126"/>
      <c r="N12" s="127"/>
      <c r="O12" s="21" t="s">
        <v>12</v>
      </c>
      <c r="P12" s="128" t="s">
        <v>13</v>
      </c>
      <c r="Q12" s="129"/>
      <c r="R12" s="100" t="s">
        <v>14</v>
      </c>
      <c r="S12" s="117" t="s">
        <v>15</v>
      </c>
      <c r="T12" s="21"/>
    </row>
    <row r="13" spans="1:32" ht="23.25" customHeight="1" thickBot="1">
      <c r="A13" s="160"/>
      <c r="B13" s="118"/>
      <c r="C13" s="118"/>
      <c r="D13" s="118"/>
      <c r="E13" s="118"/>
      <c r="F13" s="122"/>
      <c r="G13" s="123"/>
      <c r="H13" s="124"/>
      <c r="I13" s="23" t="s">
        <v>16</v>
      </c>
      <c r="J13" s="24" t="s">
        <v>17</v>
      </c>
      <c r="K13" s="24" t="s">
        <v>18</v>
      </c>
      <c r="L13" s="24" t="s">
        <v>19</v>
      </c>
      <c r="M13" s="24" t="s">
        <v>20</v>
      </c>
      <c r="N13" s="25" t="s">
        <v>21</v>
      </c>
      <c r="O13" s="22" t="s">
        <v>22</v>
      </c>
      <c r="P13" s="26" t="s">
        <v>23</v>
      </c>
      <c r="Q13" s="65" t="s">
        <v>24</v>
      </c>
      <c r="R13" s="132"/>
      <c r="S13" s="118"/>
      <c r="T13" s="22"/>
      <c r="Y13" s="1" t="s">
        <v>25</v>
      </c>
    </row>
    <row r="14" spans="1:32" ht="22.5" customHeight="1">
      <c r="A14" s="160"/>
      <c r="B14" s="118"/>
      <c r="C14" s="118"/>
      <c r="D14" s="118"/>
      <c r="E14" s="118"/>
      <c r="F14" s="133" t="s">
        <v>26</v>
      </c>
      <c r="G14" s="135" t="s">
        <v>27</v>
      </c>
      <c r="H14" s="137" t="s">
        <v>85</v>
      </c>
      <c r="I14" s="139" t="s">
        <v>28</v>
      </c>
      <c r="J14" s="140"/>
      <c r="K14" s="140"/>
      <c r="L14" s="140"/>
      <c r="M14" s="141"/>
      <c r="N14" s="28" t="s">
        <v>28</v>
      </c>
      <c r="O14" s="29" t="s">
        <v>29</v>
      </c>
      <c r="P14" s="142" t="s">
        <v>30</v>
      </c>
      <c r="Q14" s="143"/>
      <c r="R14" s="132"/>
      <c r="S14" s="118"/>
      <c r="T14" s="22" t="s">
        <v>31</v>
      </c>
    </row>
    <row r="15" spans="1:32" ht="22.5" customHeight="1">
      <c r="A15" s="160"/>
      <c r="B15" s="118"/>
      <c r="C15" s="118"/>
      <c r="D15" s="118"/>
      <c r="E15" s="118"/>
      <c r="F15" s="134"/>
      <c r="G15" s="136"/>
      <c r="H15" s="138"/>
      <c r="I15" s="144" t="s">
        <v>32</v>
      </c>
      <c r="J15" s="145"/>
      <c r="K15" s="145"/>
      <c r="L15" s="145"/>
      <c r="M15" s="145"/>
      <c r="N15" s="145"/>
      <c r="O15" s="145"/>
      <c r="P15" s="145"/>
      <c r="Q15" s="146"/>
      <c r="R15" s="132"/>
      <c r="S15" s="118"/>
      <c r="T15" s="22"/>
    </row>
    <row r="16" spans="1:32" ht="36" customHeight="1" thickBot="1">
      <c r="A16" s="160"/>
      <c r="B16" s="118"/>
      <c r="C16" s="118"/>
      <c r="D16" s="118"/>
      <c r="E16" s="118"/>
      <c r="F16" s="134"/>
      <c r="G16" s="136"/>
      <c r="H16" s="138"/>
      <c r="I16" s="30" t="s">
        <v>150</v>
      </c>
      <c r="J16" s="31" t="s">
        <v>51</v>
      </c>
      <c r="K16" s="32" t="s">
        <v>152</v>
      </c>
      <c r="L16" s="32" t="s">
        <v>151</v>
      </c>
      <c r="M16" s="32" t="s">
        <v>36</v>
      </c>
      <c r="N16" s="33" t="s">
        <v>36</v>
      </c>
      <c r="O16" s="34" t="s">
        <v>55</v>
      </c>
      <c r="P16" s="35" t="s">
        <v>153</v>
      </c>
      <c r="Q16" s="32" t="s">
        <v>154</v>
      </c>
      <c r="R16" s="132"/>
      <c r="S16" s="118"/>
      <c r="T16" s="22"/>
    </row>
    <row r="17" spans="1:20" ht="20.100000000000001" customHeight="1">
      <c r="A17" s="155">
        <v>1</v>
      </c>
      <c r="B17" s="157" t="s">
        <v>131</v>
      </c>
      <c r="C17" s="153" t="s">
        <v>132</v>
      </c>
      <c r="D17" s="147">
        <v>45888</v>
      </c>
      <c r="E17" s="37" t="s">
        <v>48</v>
      </c>
      <c r="F17" s="147">
        <v>45887</v>
      </c>
      <c r="G17" s="149">
        <v>17</v>
      </c>
      <c r="H17" s="151">
        <v>2523000008</v>
      </c>
      <c r="I17" s="38">
        <v>0.28000000000000003</v>
      </c>
      <c r="J17" s="39">
        <v>1.17</v>
      </c>
      <c r="K17" s="39">
        <v>9.01</v>
      </c>
      <c r="L17" s="40">
        <v>16.11</v>
      </c>
      <c r="M17" s="39">
        <v>26.7</v>
      </c>
      <c r="N17" s="40">
        <v>33.700000000000003</v>
      </c>
      <c r="O17" s="41" t="s">
        <v>62</v>
      </c>
      <c r="P17" s="42">
        <v>29</v>
      </c>
      <c r="Q17" s="42">
        <v>147</v>
      </c>
      <c r="R17" s="43" t="s">
        <v>38</v>
      </c>
      <c r="S17" s="37"/>
      <c r="T17" s="47" t="s">
        <v>63</v>
      </c>
    </row>
    <row r="18" spans="1:20" ht="20.100000000000001" customHeight="1" thickBot="1">
      <c r="A18" s="156"/>
      <c r="B18" s="158"/>
      <c r="C18" s="154"/>
      <c r="D18" s="148"/>
      <c r="E18" s="44" t="s">
        <v>49</v>
      </c>
      <c r="F18" s="148"/>
      <c r="G18" s="150"/>
      <c r="H18" s="152"/>
      <c r="I18" s="44">
        <v>0.3</v>
      </c>
      <c r="J18" s="51" t="s">
        <v>62</v>
      </c>
      <c r="K18" s="50" t="s">
        <v>62</v>
      </c>
      <c r="L18" s="50" t="s">
        <v>62</v>
      </c>
      <c r="M18" s="50">
        <v>26.5</v>
      </c>
      <c r="N18" s="52">
        <v>29.4</v>
      </c>
      <c r="O18" s="53" t="s">
        <v>62</v>
      </c>
      <c r="P18" s="51" t="s">
        <v>62</v>
      </c>
      <c r="Q18" s="51" t="s">
        <v>62</v>
      </c>
      <c r="R18" s="54" t="s">
        <v>38</v>
      </c>
      <c r="S18" s="45"/>
      <c r="T18" s="48" t="s">
        <v>63</v>
      </c>
    </row>
    <row r="19" spans="1:20" ht="20.100000000000001" customHeight="1">
      <c r="A19" s="155">
        <v>2</v>
      </c>
      <c r="B19" s="157"/>
      <c r="C19" s="153"/>
      <c r="D19" s="147"/>
      <c r="E19" s="37"/>
      <c r="F19" s="147"/>
      <c r="G19" s="149"/>
      <c r="H19" s="151"/>
      <c r="I19" s="38">
        <v>0.3</v>
      </c>
      <c r="J19" s="39">
        <v>1.33</v>
      </c>
      <c r="K19" s="39">
        <v>6.01</v>
      </c>
      <c r="L19" s="40">
        <v>6.01</v>
      </c>
      <c r="M19" s="39">
        <v>15.1</v>
      </c>
      <c r="N19" s="40">
        <v>37.700000000000003</v>
      </c>
      <c r="O19" s="41">
        <v>10000</v>
      </c>
      <c r="P19" s="42">
        <v>27</v>
      </c>
      <c r="Q19" s="42">
        <v>182</v>
      </c>
      <c r="R19" s="43" t="s">
        <v>38</v>
      </c>
      <c r="S19" s="37"/>
      <c r="T19" s="47" t="s">
        <v>63</v>
      </c>
    </row>
    <row r="20" spans="1:20" ht="20.100000000000001" customHeight="1" thickBot="1">
      <c r="A20" s="156"/>
      <c r="B20" s="158"/>
      <c r="C20" s="154"/>
      <c r="D20" s="148"/>
      <c r="E20" s="44"/>
      <c r="F20" s="148"/>
      <c r="G20" s="150"/>
      <c r="H20" s="152"/>
      <c r="I20" s="44">
        <v>0.72</v>
      </c>
      <c r="J20" s="51" t="s">
        <v>62</v>
      </c>
      <c r="K20" s="50" t="s">
        <v>62</v>
      </c>
      <c r="L20" s="50" t="s">
        <v>62</v>
      </c>
      <c r="M20" s="50">
        <v>16.7</v>
      </c>
      <c r="N20" s="52">
        <v>23</v>
      </c>
      <c r="O20" s="53" t="s">
        <v>62</v>
      </c>
      <c r="P20" s="51" t="s">
        <v>62</v>
      </c>
      <c r="Q20" s="51" t="s">
        <v>62</v>
      </c>
      <c r="R20" s="54" t="s">
        <v>38</v>
      </c>
      <c r="S20" s="45"/>
      <c r="T20" s="48" t="s">
        <v>63</v>
      </c>
    </row>
    <row r="21" spans="1:20" ht="20.100000000000001" customHeight="1"/>
    <row r="22" spans="1:20" ht="20.100000000000001" customHeight="1"/>
    <row r="23" spans="1:20" ht="20.100000000000001" customHeight="1"/>
    <row r="24" spans="1:20" ht="20.100000000000001" customHeight="1"/>
    <row r="25" spans="1:20" ht="20.100000000000001" customHeight="1">
      <c r="H25"/>
    </row>
    <row r="26" spans="1:20" ht="20.100000000000001" customHeight="1"/>
    <row r="27" spans="1:20" ht="20.100000000000001" customHeight="1"/>
    <row r="28" spans="1:20" ht="20.100000000000001" customHeight="1"/>
    <row r="29" spans="1:20" ht="20.100000000000001" customHeight="1"/>
    <row r="30" spans="1:20" ht="20.100000000000001" customHeight="1"/>
    <row r="31" spans="1:20" ht="20.100000000000001" customHeight="1"/>
    <row r="32" spans="1:20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spans="32:32" ht="20.100000000000001" customHeight="1"/>
    <row r="338" spans="32:32" ht="20.100000000000001" customHeight="1"/>
    <row r="339" spans="32:32" ht="20.100000000000001" customHeight="1"/>
    <row r="340" spans="32:32" ht="20.100000000000001" customHeight="1"/>
    <row r="341" spans="32:32" ht="20.100000000000001" customHeight="1"/>
    <row r="342" spans="32:32" ht="20.100000000000001" customHeight="1"/>
    <row r="343" spans="32:32" ht="20.100000000000001" customHeight="1">
      <c r="AF343" s="1" t="s">
        <v>39</v>
      </c>
    </row>
  </sheetData>
  <autoFilter ref="A12:T18" xr:uid="{2023D5D9-0A37-4427-912B-90F76B223594}"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2" showButton="0"/>
    <filterColumn colId="15" showButton="0"/>
  </autoFilter>
  <mergeCells count="44">
    <mergeCell ref="A19:A20"/>
    <mergeCell ref="B19:B20"/>
    <mergeCell ref="C19:C20"/>
    <mergeCell ref="D19:D20"/>
    <mergeCell ref="F19:F20"/>
    <mergeCell ref="H19:H20"/>
    <mergeCell ref="G19:G20"/>
    <mergeCell ref="G17:G18"/>
    <mergeCell ref="H17:H18"/>
    <mergeCell ref="F14:F16"/>
    <mergeCell ref="G14:G16"/>
    <mergeCell ref="H14:H16"/>
    <mergeCell ref="A12:A16"/>
    <mergeCell ref="H10:T10"/>
    <mergeCell ref="I12:N12"/>
    <mergeCell ref="P12:Q12"/>
    <mergeCell ref="A17:A18"/>
    <mergeCell ref="B17:B18"/>
    <mergeCell ref="C17:C18"/>
    <mergeCell ref="D17:D18"/>
    <mergeCell ref="F17:F18"/>
    <mergeCell ref="H8:T8"/>
    <mergeCell ref="H9:T9"/>
    <mergeCell ref="B12:B16"/>
    <mergeCell ref="C12:C16"/>
    <mergeCell ref="D12:D16"/>
    <mergeCell ref="E12:E16"/>
    <mergeCell ref="F12:H13"/>
    <mergeCell ref="R12:R16"/>
    <mergeCell ref="S12:S16"/>
    <mergeCell ref="I14:M14"/>
    <mergeCell ref="P14:Q14"/>
    <mergeCell ref="I15:Q15"/>
    <mergeCell ref="D5:T5"/>
    <mergeCell ref="D6:T6"/>
    <mergeCell ref="A7:T7"/>
    <mergeCell ref="A1:D2"/>
    <mergeCell ref="E1:U2"/>
    <mergeCell ref="A3:C4"/>
    <mergeCell ref="D3:E4"/>
    <mergeCell ref="F3:H4"/>
    <mergeCell ref="I3:L4"/>
    <mergeCell ref="M3:R4"/>
    <mergeCell ref="S3:T4"/>
  </mergeCells>
  <conditionalFormatting sqref="I17:I20">
    <cfRule type="cellIs" dxfId="167" priority="8" operator="lessThan">
      <formula>0.3</formula>
    </cfRule>
    <cfRule type="cellIs" dxfId="166" priority="9" operator="greaterThan">
      <formula>0.8</formula>
    </cfRule>
  </conditionalFormatting>
  <conditionalFormatting sqref="J1:J16 J21:J1048576">
    <cfRule type="cellIs" dxfId="165" priority="17" operator="between">
      <formula>0</formula>
      <formula>1.5</formula>
    </cfRule>
  </conditionalFormatting>
  <conditionalFormatting sqref="K17:K20 K1:L16 K21:L1048576">
    <cfRule type="cellIs" dxfId="164" priority="20" operator="between">
      <formula>0</formula>
      <formula>7.5</formula>
    </cfRule>
  </conditionalFormatting>
  <conditionalFormatting sqref="K17:K20">
    <cfRule type="cellIs" dxfId="163" priority="19" operator="lessThan">
      <formula>7.5</formula>
    </cfRule>
  </conditionalFormatting>
  <conditionalFormatting sqref="K17:L20">
    <cfRule type="cellIs" dxfId="162" priority="7" operator="lessThan">
      <formula>5</formula>
    </cfRule>
  </conditionalFormatting>
  <conditionalFormatting sqref="M1:M16 M21:M1048576">
    <cfRule type="cellIs" dxfId="161" priority="16" operator="between">
      <formula>0</formula>
      <formula>16.5</formula>
    </cfRule>
  </conditionalFormatting>
  <conditionalFormatting sqref="M17:M20">
    <cfRule type="cellIs" dxfId="160" priority="6" operator="lessThan">
      <formula>15</formula>
    </cfRule>
  </conditionalFormatting>
  <conditionalFormatting sqref="N1:N16 N21:N1048576">
    <cfRule type="cellIs" dxfId="159" priority="15" operator="between">
      <formula>0</formula>
      <formula>25</formula>
    </cfRule>
  </conditionalFormatting>
  <conditionalFormatting sqref="N17:N20">
    <cfRule type="cellIs" dxfId="158" priority="5" operator="lessThan">
      <formula>25</formula>
    </cfRule>
  </conditionalFormatting>
  <conditionalFormatting sqref="O1:O16 O21:O1048576">
    <cfRule type="cellIs" priority="14" operator="between">
      <formula>0</formula>
      <formula>8000</formula>
    </cfRule>
  </conditionalFormatting>
  <conditionalFormatting sqref="O17:O20">
    <cfRule type="cellIs" dxfId="157" priority="4" operator="lessThan">
      <formula>10000</formula>
    </cfRule>
  </conditionalFormatting>
  <conditionalFormatting sqref="P1:P16 P21:P1048576">
    <cfRule type="cellIs" dxfId="156" priority="13" operator="between">
      <formula>0</formula>
      <formula>19</formula>
    </cfRule>
  </conditionalFormatting>
  <conditionalFormatting sqref="P17:P20">
    <cfRule type="cellIs" dxfId="155" priority="3" operator="lessThan">
      <formula>20</formula>
    </cfRule>
  </conditionalFormatting>
  <conditionalFormatting sqref="Q1:Q1048576">
    <cfRule type="cellIs" dxfId="154" priority="12" operator="between">
      <formula>0</formula>
      <formula>99</formula>
    </cfRule>
  </conditionalFormatting>
  <conditionalFormatting sqref="Q17:Q20">
    <cfRule type="cellIs" dxfId="153" priority="2" operator="lessThan">
      <formula>120</formula>
    </cfRule>
    <cfRule type="cellIs" dxfId="152" priority="18" operator="lessThan">
      <formula>100</formula>
    </cfRule>
  </conditionalFormatting>
  <conditionalFormatting sqref="R1:R1048576">
    <cfRule type="cellIs" dxfId="151" priority="10" operator="between">
      <formula>"FAIL"</formula>
      <formula>"FAIL"</formula>
    </cfRule>
    <cfRule type="cellIs" dxfId="150" priority="11" operator="between">
      <formula>"PASS"</formula>
      <formula>"PASS"</formula>
    </cfRule>
  </conditionalFormatting>
  <printOptions horizontalCentered="1"/>
  <pageMargins left="0.19685039370078741" right="0.19685039370078741" top="0.19685039370078741" bottom="0.19685039370078741" header="0.11811023622047245" footer="0.15748031496062992"/>
  <pageSetup scale="31" orientation="landscape" horizontalDpi="429496729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D678-E28F-4852-9B96-8C2F7229B9B4}">
  <dimension ref="A1:AF341"/>
  <sheetViews>
    <sheetView view="pageBreakPreview" zoomScale="80" zoomScaleNormal="100" zoomScaleSheetLayoutView="80" workbookViewId="0">
      <pane ySplit="16" topLeftCell="A17" activePane="bottomLeft" state="frozen"/>
      <selection pane="bottomLeft" activeCell="E25" sqref="E25"/>
    </sheetView>
  </sheetViews>
  <sheetFormatPr baseColWidth="10" defaultColWidth="9.33203125" defaultRowHeight="10.199999999999999"/>
  <cols>
    <col min="1" max="1" width="5.33203125" style="1" customWidth="1"/>
    <col min="2" max="2" width="16.6640625" style="1" customWidth="1"/>
    <col min="3" max="3" width="17.6640625" style="1" customWidth="1"/>
    <col min="4" max="4" width="14.6640625" style="1" customWidth="1"/>
    <col min="5" max="5" width="11" style="1" customWidth="1"/>
    <col min="6" max="6" width="11.33203125" style="1" customWidth="1"/>
    <col min="7" max="7" width="6.6640625" style="1" customWidth="1"/>
    <col min="8" max="8" width="11.33203125" style="1" customWidth="1"/>
    <col min="9" max="9" width="8.44140625" style="1" customWidth="1"/>
    <col min="10" max="10" width="5.33203125" style="1" customWidth="1"/>
    <col min="11" max="11" width="12.44140625" style="1" bestFit="1" customWidth="1"/>
    <col min="12" max="12" width="11.6640625" style="1" customWidth="1"/>
    <col min="13" max="13" width="9" style="1" customWidth="1"/>
    <col min="14" max="14" width="5.33203125" style="1" customWidth="1"/>
    <col min="15" max="15" width="10.88671875" style="1" customWidth="1"/>
    <col min="16" max="16" width="8.88671875" style="1" bestFit="1" customWidth="1"/>
    <col min="17" max="17" width="10.6640625" style="1" bestFit="1" customWidth="1"/>
    <col min="18" max="18" width="9.88671875" style="1" customWidth="1"/>
    <col min="19" max="19" width="14.88671875" style="46" customWidth="1"/>
    <col min="20" max="20" width="33" style="46" customWidth="1"/>
    <col min="21" max="16384" width="9.33203125" style="1"/>
  </cols>
  <sheetData>
    <row r="1" spans="1:32" ht="21" customHeight="1">
      <c r="A1" s="88" t="s">
        <v>40</v>
      </c>
      <c r="B1" s="89"/>
      <c r="C1" s="89"/>
      <c r="D1" s="90"/>
      <c r="E1" s="94" t="s">
        <v>0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6"/>
    </row>
    <row r="2" spans="1:32" ht="29.25" customHeight="1" thickBot="1">
      <c r="A2" s="91"/>
      <c r="B2" s="92"/>
      <c r="C2" s="92"/>
      <c r="D2" s="93"/>
      <c r="E2" s="97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9"/>
    </row>
    <row r="3" spans="1:32" ht="22.5" customHeight="1">
      <c r="A3" s="100" t="s">
        <v>41</v>
      </c>
      <c r="B3" s="101"/>
      <c r="C3" s="102"/>
      <c r="D3" s="100" t="s">
        <v>42</v>
      </c>
      <c r="E3" s="102"/>
      <c r="F3" s="100" t="s">
        <v>43</v>
      </c>
      <c r="G3" s="101"/>
      <c r="H3" s="102"/>
      <c r="I3" s="100" t="s">
        <v>44</v>
      </c>
      <c r="J3" s="101"/>
      <c r="K3" s="101"/>
      <c r="L3" s="102"/>
      <c r="M3" s="100" t="s">
        <v>1</v>
      </c>
      <c r="N3" s="101"/>
      <c r="O3" s="101"/>
      <c r="P3" s="101"/>
      <c r="Q3" s="101"/>
      <c r="R3" s="101"/>
      <c r="S3" s="106" t="s">
        <v>2</v>
      </c>
      <c r="T3" s="107"/>
    </row>
    <row r="4" spans="1:32" ht="23.25" customHeight="1" thickBot="1">
      <c r="A4" s="103"/>
      <c r="B4" s="104"/>
      <c r="C4" s="105"/>
      <c r="D4" s="103"/>
      <c r="E4" s="105"/>
      <c r="F4" s="103"/>
      <c r="G4" s="104"/>
      <c r="H4" s="105"/>
      <c r="I4" s="103"/>
      <c r="J4" s="104"/>
      <c r="K4" s="104"/>
      <c r="L4" s="105"/>
      <c r="M4" s="103"/>
      <c r="N4" s="104"/>
      <c r="O4" s="104"/>
      <c r="P4" s="104"/>
      <c r="Q4" s="104"/>
      <c r="R4" s="104"/>
      <c r="S4" s="108"/>
      <c r="T4" s="109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5.75" customHeight="1">
      <c r="A5" s="3"/>
      <c r="B5" s="3"/>
      <c r="C5" s="3"/>
      <c r="D5" s="110" t="s">
        <v>3</v>
      </c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</row>
    <row r="6" spans="1:32" ht="9.75" customHeight="1" thickBot="1">
      <c r="A6" s="4"/>
      <c r="B6" s="4"/>
      <c r="C6" s="4"/>
      <c r="D6" s="111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</row>
    <row r="7" spans="1:32" ht="16.5" customHeight="1" thickBot="1">
      <c r="A7" s="113" t="s">
        <v>4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</row>
    <row r="8" spans="1:32" ht="11.25" customHeight="1">
      <c r="A8" s="5"/>
      <c r="B8" s="6"/>
      <c r="C8" s="6"/>
      <c r="D8" s="7"/>
      <c r="E8" s="7"/>
      <c r="F8" s="7"/>
      <c r="G8" s="8"/>
      <c r="H8" s="114" t="s">
        <v>5</v>
      </c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6"/>
    </row>
    <row r="9" spans="1:32" ht="12" customHeight="1">
      <c r="A9" s="9"/>
      <c r="B9" s="49"/>
      <c r="C9" s="10" t="s">
        <v>159</v>
      </c>
      <c r="D9" s="10"/>
      <c r="E9" s="10"/>
      <c r="F9" s="10"/>
      <c r="G9" s="11"/>
      <c r="H9" s="85" t="s">
        <v>6</v>
      </c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7"/>
    </row>
    <row r="10" spans="1:32" ht="12" customHeight="1">
      <c r="A10" s="9"/>
      <c r="B10" s="49"/>
      <c r="C10" s="10" t="s">
        <v>160</v>
      </c>
      <c r="D10" s="12"/>
      <c r="E10" s="13"/>
      <c r="F10" s="13"/>
      <c r="G10" s="14"/>
      <c r="H10" s="85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7"/>
    </row>
    <row r="11" spans="1:32" ht="10.8" thickBot="1">
      <c r="A11" s="15"/>
      <c r="B11" s="19"/>
      <c r="C11" s="16"/>
      <c r="D11" s="17"/>
      <c r="E11" s="16"/>
      <c r="F11" s="16"/>
      <c r="G11" s="18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20"/>
    </row>
    <row r="12" spans="1:32" ht="34.5" customHeight="1" thickBot="1">
      <c r="A12" s="159" t="s">
        <v>7</v>
      </c>
      <c r="B12" s="117" t="s">
        <v>61</v>
      </c>
      <c r="C12" s="117" t="s">
        <v>77</v>
      </c>
      <c r="D12" s="117" t="s">
        <v>8</v>
      </c>
      <c r="E12" s="117" t="s">
        <v>9</v>
      </c>
      <c r="F12" s="119" t="s">
        <v>10</v>
      </c>
      <c r="G12" s="120"/>
      <c r="H12" s="121"/>
      <c r="I12" s="125" t="s">
        <v>11</v>
      </c>
      <c r="J12" s="126"/>
      <c r="K12" s="126"/>
      <c r="L12" s="126"/>
      <c r="M12" s="126"/>
      <c r="N12" s="127"/>
      <c r="O12" s="21" t="s">
        <v>12</v>
      </c>
      <c r="P12" s="128" t="s">
        <v>13</v>
      </c>
      <c r="Q12" s="129"/>
      <c r="R12" s="100" t="s">
        <v>14</v>
      </c>
      <c r="S12" s="117" t="s">
        <v>15</v>
      </c>
      <c r="T12" s="21"/>
    </row>
    <row r="13" spans="1:32" ht="23.25" customHeight="1" thickBot="1">
      <c r="A13" s="160"/>
      <c r="B13" s="118"/>
      <c r="C13" s="118"/>
      <c r="D13" s="118"/>
      <c r="E13" s="118"/>
      <c r="F13" s="122"/>
      <c r="G13" s="123"/>
      <c r="H13" s="124"/>
      <c r="I13" s="23" t="s">
        <v>16</v>
      </c>
      <c r="J13" s="24" t="s">
        <v>17</v>
      </c>
      <c r="K13" s="24" t="s">
        <v>18</v>
      </c>
      <c r="L13" s="24" t="s">
        <v>19</v>
      </c>
      <c r="M13" s="24" t="s">
        <v>20</v>
      </c>
      <c r="N13" s="25" t="s">
        <v>21</v>
      </c>
      <c r="O13" s="22" t="s">
        <v>22</v>
      </c>
      <c r="P13" s="26" t="s">
        <v>23</v>
      </c>
      <c r="Q13" s="75" t="s">
        <v>24</v>
      </c>
      <c r="R13" s="132"/>
      <c r="S13" s="118"/>
      <c r="T13" s="22"/>
      <c r="Y13" s="1" t="s">
        <v>25</v>
      </c>
    </row>
    <row r="14" spans="1:32" ht="22.5" customHeight="1">
      <c r="A14" s="160"/>
      <c r="B14" s="118"/>
      <c r="C14" s="118"/>
      <c r="D14" s="118"/>
      <c r="E14" s="118"/>
      <c r="F14" s="133" t="s">
        <v>26</v>
      </c>
      <c r="G14" s="135" t="s">
        <v>27</v>
      </c>
      <c r="H14" s="137" t="s">
        <v>85</v>
      </c>
      <c r="I14" s="139" t="s">
        <v>28</v>
      </c>
      <c r="J14" s="140"/>
      <c r="K14" s="140"/>
      <c r="L14" s="140"/>
      <c r="M14" s="141"/>
      <c r="N14" s="28" t="s">
        <v>28</v>
      </c>
      <c r="O14" s="29" t="s">
        <v>29</v>
      </c>
      <c r="P14" s="142" t="s">
        <v>30</v>
      </c>
      <c r="Q14" s="143"/>
      <c r="R14" s="132"/>
      <c r="S14" s="118"/>
      <c r="T14" s="22" t="s">
        <v>31</v>
      </c>
    </row>
    <row r="15" spans="1:32" ht="22.5" customHeight="1">
      <c r="A15" s="160"/>
      <c r="B15" s="118"/>
      <c r="C15" s="118"/>
      <c r="D15" s="118"/>
      <c r="E15" s="118"/>
      <c r="F15" s="134"/>
      <c r="G15" s="136"/>
      <c r="H15" s="138"/>
      <c r="I15" s="144" t="s">
        <v>32</v>
      </c>
      <c r="J15" s="145"/>
      <c r="K15" s="145"/>
      <c r="L15" s="145"/>
      <c r="M15" s="145"/>
      <c r="N15" s="145"/>
      <c r="O15" s="145"/>
      <c r="P15" s="145"/>
      <c r="Q15" s="146"/>
      <c r="R15" s="132"/>
      <c r="S15" s="118"/>
      <c r="T15" s="22"/>
    </row>
    <row r="16" spans="1:32" ht="36" customHeight="1" thickBot="1">
      <c r="A16" s="160"/>
      <c r="B16" s="118"/>
      <c r="C16" s="118"/>
      <c r="D16" s="118"/>
      <c r="E16" s="118"/>
      <c r="F16" s="134"/>
      <c r="G16" s="136"/>
      <c r="H16" s="138"/>
      <c r="I16" s="30" t="s">
        <v>161</v>
      </c>
      <c r="J16" s="31" t="s">
        <v>51</v>
      </c>
      <c r="K16" s="32" t="s">
        <v>165</v>
      </c>
      <c r="L16" s="32" t="s">
        <v>164</v>
      </c>
      <c r="M16" s="32" t="s">
        <v>36</v>
      </c>
      <c r="N16" s="33" t="s">
        <v>54</v>
      </c>
      <c r="O16" s="34" t="s">
        <v>55</v>
      </c>
      <c r="P16" s="35" t="s">
        <v>162</v>
      </c>
      <c r="Q16" s="32" t="s">
        <v>163</v>
      </c>
      <c r="R16" s="132"/>
      <c r="S16" s="118"/>
      <c r="T16" s="22"/>
    </row>
    <row r="17" spans="1:20" ht="20.100000000000001" customHeight="1">
      <c r="A17" s="155">
        <v>1</v>
      </c>
      <c r="B17" s="157"/>
      <c r="C17" s="153"/>
      <c r="D17" s="147"/>
      <c r="E17" s="37"/>
      <c r="F17" s="147"/>
      <c r="G17" s="149"/>
      <c r="H17" s="151"/>
      <c r="I17" s="38"/>
      <c r="J17" s="39"/>
      <c r="K17" s="39"/>
      <c r="L17" s="40"/>
      <c r="M17" s="39"/>
      <c r="N17" s="40"/>
      <c r="O17" s="41"/>
      <c r="P17" s="42"/>
      <c r="Q17" s="42"/>
      <c r="R17" s="43"/>
      <c r="S17" s="37"/>
      <c r="T17" s="47"/>
    </row>
    <row r="18" spans="1:20" ht="20.100000000000001" customHeight="1" thickBot="1">
      <c r="A18" s="156"/>
      <c r="B18" s="158"/>
      <c r="C18" s="154"/>
      <c r="D18" s="148"/>
      <c r="E18" s="44"/>
      <c r="F18" s="148"/>
      <c r="G18" s="150"/>
      <c r="H18" s="152"/>
      <c r="I18" s="44"/>
      <c r="J18" s="51"/>
      <c r="K18" s="50"/>
      <c r="L18" s="50"/>
      <c r="M18" s="50"/>
      <c r="N18" s="52"/>
      <c r="O18" s="53"/>
      <c r="P18" s="51"/>
      <c r="Q18" s="51"/>
      <c r="R18" s="54"/>
      <c r="S18" s="45"/>
      <c r="T18" s="48"/>
    </row>
    <row r="19" spans="1:20" ht="20.100000000000001" customHeight="1"/>
    <row r="20" spans="1:20" ht="20.100000000000001" customHeight="1"/>
    <row r="21" spans="1:20" ht="20.100000000000001" customHeight="1"/>
    <row r="22" spans="1:20" ht="20.100000000000001" customHeight="1"/>
    <row r="23" spans="1:20" ht="20.100000000000001" customHeight="1">
      <c r="H23"/>
    </row>
    <row r="24" spans="1:20" ht="20.100000000000001" customHeight="1"/>
    <row r="25" spans="1:20" ht="20.100000000000001" customHeight="1"/>
    <row r="26" spans="1:20" ht="20.100000000000001" customHeight="1"/>
    <row r="27" spans="1:20" ht="20.100000000000001" customHeight="1"/>
    <row r="28" spans="1:20" ht="20.100000000000001" customHeight="1"/>
    <row r="29" spans="1:20" ht="20.100000000000001" customHeight="1"/>
    <row r="30" spans="1:20" ht="20.100000000000001" customHeight="1"/>
    <row r="31" spans="1:20" ht="20.100000000000001" customHeight="1"/>
    <row r="32" spans="1:20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spans="32:32" ht="20.100000000000001" customHeight="1"/>
    <row r="338" spans="32:32" ht="20.100000000000001" customHeight="1"/>
    <row r="339" spans="32:32" ht="20.100000000000001" customHeight="1"/>
    <row r="340" spans="32:32" ht="20.100000000000001" customHeight="1"/>
    <row r="341" spans="32:32" ht="20.100000000000001" customHeight="1">
      <c r="AF341" s="1" t="s">
        <v>39</v>
      </c>
    </row>
  </sheetData>
  <autoFilter ref="A12:T18" xr:uid="{2023D5D9-0A37-4427-912B-90F76B223594}"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2" showButton="0"/>
    <filterColumn colId="15" showButton="0"/>
  </autoFilter>
  <mergeCells count="37">
    <mergeCell ref="H10:T10"/>
    <mergeCell ref="A1:D2"/>
    <mergeCell ref="E1:U2"/>
    <mergeCell ref="A3:C4"/>
    <mergeCell ref="D3:E4"/>
    <mergeCell ref="F3:H4"/>
    <mergeCell ref="I3:L4"/>
    <mergeCell ref="M3:R4"/>
    <mergeCell ref="S3:T4"/>
    <mergeCell ref="D5:T5"/>
    <mergeCell ref="D6:T6"/>
    <mergeCell ref="A7:T7"/>
    <mergeCell ref="H8:T8"/>
    <mergeCell ref="H9:T9"/>
    <mergeCell ref="A12:A16"/>
    <mergeCell ref="B12:B16"/>
    <mergeCell ref="C12:C16"/>
    <mergeCell ref="D12:D16"/>
    <mergeCell ref="E12:E16"/>
    <mergeCell ref="I12:N12"/>
    <mergeCell ref="P12:Q12"/>
    <mergeCell ref="R12:R16"/>
    <mergeCell ref="S12:S16"/>
    <mergeCell ref="F14:F16"/>
    <mergeCell ref="G14:G16"/>
    <mergeCell ref="H14:H16"/>
    <mergeCell ref="I14:M14"/>
    <mergeCell ref="P14:Q14"/>
    <mergeCell ref="I15:Q15"/>
    <mergeCell ref="F12:H13"/>
    <mergeCell ref="H17:H18"/>
    <mergeCell ref="A17:A18"/>
    <mergeCell ref="B17:B18"/>
    <mergeCell ref="C17:C18"/>
    <mergeCell ref="D17:D18"/>
    <mergeCell ref="F17:F18"/>
    <mergeCell ref="G17:G18"/>
  </mergeCells>
  <conditionalFormatting sqref="I17:I18">
    <cfRule type="cellIs" dxfId="149" priority="7" operator="lessThan">
      <formula>0.3</formula>
    </cfRule>
    <cfRule type="cellIs" dxfId="148" priority="8" operator="greaterThan">
      <formula>0.8</formula>
    </cfRule>
  </conditionalFormatting>
  <conditionalFormatting sqref="J1:J16 J19:J1048576">
    <cfRule type="cellIs" dxfId="147" priority="16" operator="between">
      <formula>0</formula>
      <formula>1.5</formula>
    </cfRule>
  </conditionalFormatting>
  <conditionalFormatting sqref="K17:K18 K1:L16 K19:L1048576">
    <cfRule type="cellIs" dxfId="146" priority="19" operator="between">
      <formula>0</formula>
      <formula>7.5</formula>
    </cfRule>
  </conditionalFormatting>
  <conditionalFormatting sqref="K17:K18">
    <cfRule type="cellIs" dxfId="145" priority="18" operator="lessThan">
      <formula>7.5</formula>
    </cfRule>
  </conditionalFormatting>
  <conditionalFormatting sqref="K17:L18">
    <cfRule type="cellIs" dxfId="144" priority="6" operator="lessThan">
      <formula>5</formula>
    </cfRule>
  </conditionalFormatting>
  <conditionalFormatting sqref="M1:M16 M19:M1048576">
    <cfRule type="cellIs" dxfId="143" priority="15" operator="between">
      <formula>0</formula>
      <formula>16.5</formula>
    </cfRule>
  </conditionalFormatting>
  <conditionalFormatting sqref="M17:M18">
    <cfRule type="cellIs" dxfId="142" priority="5" operator="lessThan">
      <formula>15</formula>
    </cfRule>
  </conditionalFormatting>
  <conditionalFormatting sqref="N1:N16 N19:N1048576">
    <cfRule type="cellIs" dxfId="141" priority="14" operator="between">
      <formula>0</formula>
      <formula>25</formula>
    </cfRule>
  </conditionalFormatting>
  <conditionalFormatting sqref="N17:N18">
    <cfRule type="cellIs" dxfId="140" priority="4" operator="lessThan">
      <formula>25</formula>
    </cfRule>
  </conditionalFormatting>
  <conditionalFormatting sqref="O1:O16 O19:O1048576">
    <cfRule type="cellIs" priority="13" operator="between">
      <formula>0</formula>
      <formula>8000</formula>
    </cfRule>
  </conditionalFormatting>
  <conditionalFormatting sqref="O17:O18">
    <cfRule type="cellIs" dxfId="139" priority="3" operator="lessThan">
      <formula>10000</formula>
    </cfRule>
  </conditionalFormatting>
  <conditionalFormatting sqref="P1:P16 P19:P1048576">
    <cfRule type="cellIs" dxfId="138" priority="12" operator="between">
      <formula>0</formula>
      <formula>19</formula>
    </cfRule>
  </conditionalFormatting>
  <conditionalFormatting sqref="P17:P18">
    <cfRule type="cellIs" dxfId="137" priority="2" operator="lessThan">
      <formula>20</formula>
    </cfRule>
  </conditionalFormatting>
  <conditionalFormatting sqref="Q1:Q1048576">
    <cfRule type="cellIs" dxfId="136" priority="11" operator="between">
      <formula>0</formula>
      <formula>99</formula>
    </cfRule>
  </conditionalFormatting>
  <conditionalFormatting sqref="Q17:Q18">
    <cfRule type="cellIs" dxfId="135" priority="1" operator="lessThan">
      <formula>120</formula>
    </cfRule>
    <cfRule type="cellIs" dxfId="134" priority="17" operator="lessThan">
      <formula>100</formula>
    </cfRule>
  </conditionalFormatting>
  <conditionalFormatting sqref="R1:R1048576">
    <cfRule type="cellIs" dxfId="133" priority="9" operator="between">
      <formula>"FAIL"</formula>
      <formula>"FAIL"</formula>
    </cfRule>
    <cfRule type="cellIs" dxfId="132" priority="10" operator="between">
      <formula>"PASS"</formula>
      <formula>"PASS"</formula>
    </cfRule>
  </conditionalFormatting>
  <printOptions horizontalCentered="1"/>
  <pageMargins left="0.19685039370078741" right="0.19685039370078741" top="0.19685039370078741" bottom="0.19685039370078741" header="0.11811023622047245" footer="0.15748031496062992"/>
  <pageSetup scale="31" orientation="landscape" horizontalDpi="429496729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F9A82-F5F7-4F05-8112-B8279BFCCABA}">
  <dimension ref="A1:AF343"/>
  <sheetViews>
    <sheetView view="pageBreakPreview" zoomScale="80" zoomScaleNormal="100" zoomScaleSheetLayoutView="80" workbookViewId="0">
      <pane ySplit="16" topLeftCell="A17" activePane="bottomLeft" state="frozen"/>
      <selection pane="bottomLeft" activeCell="M23" sqref="M23"/>
    </sheetView>
  </sheetViews>
  <sheetFormatPr baseColWidth="10" defaultColWidth="9.33203125" defaultRowHeight="10.199999999999999"/>
  <cols>
    <col min="1" max="1" width="5.33203125" style="1" customWidth="1"/>
    <col min="2" max="2" width="16.6640625" style="1" customWidth="1"/>
    <col min="3" max="3" width="17.6640625" style="1" customWidth="1"/>
    <col min="4" max="4" width="14.6640625" style="1" customWidth="1"/>
    <col min="5" max="5" width="11" style="1" customWidth="1"/>
    <col min="6" max="6" width="11.33203125" style="1" customWidth="1"/>
    <col min="7" max="7" width="6.6640625" style="1" customWidth="1"/>
    <col min="8" max="8" width="11.33203125" style="1" customWidth="1"/>
    <col min="9" max="9" width="8.44140625" style="1" customWidth="1"/>
    <col min="10" max="10" width="5.33203125" style="1" customWidth="1"/>
    <col min="11" max="11" width="6.109375" style="1" customWidth="1"/>
    <col min="12" max="12" width="11.6640625" style="1" customWidth="1"/>
    <col min="13" max="13" width="9" style="1" customWidth="1"/>
    <col min="14" max="14" width="5.33203125" style="1" customWidth="1"/>
    <col min="15" max="15" width="10.88671875" style="1" customWidth="1"/>
    <col min="16" max="17" width="6.109375" style="1" customWidth="1"/>
    <col min="18" max="18" width="9.88671875" style="1" customWidth="1"/>
    <col min="19" max="19" width="14.88671875" style="46" customWidth="1"/>
    <col min="20" max="20" width="33" style="46" customWidth="1"/>
    <col min="21" max="16384" width="9.33203125" style="1"/>
  </cols>
  <sheetData>
    <row r="1" spans="1:32" ht="21" customHeight="1">
      <c r="A1" s="88" t="s">
        <v>40</v>
      </c>
      <c r="B1" s="89"/>
      <c r="C1" s="89"/>
      <c r="D1" s="90"/>
      <c r="E1" s="94" t="s">
        <v>0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6"/>
    </row>
    <row r="2" spans="1:32" ht="29.25" customHeight="1" thickBot="1">
      <c r="A2" s="91"/>
      <c r="B2" s="92"/>
      <c r="C2" s="92"/>
      <c r="D2" s="93"/>
      <c r="E2" s="97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9"/>
    </row>
    <row r="3" spans="1:32" ht="22.5" customHeight="1">
      <c r="A3" s="100" t="s">
        <v>41</v>
      </c>
      <c r="B3" s="101"/>
      <c r="C3" s="102"/>
      <c r="D3" s="100" t="s">
        <v>42</v>
      </c>
      <c r="E3" s="102"/>
      <c r="F3" s="100" t="s">
        <v>43</v>
      </c>
      <c r="G3" s="101"/>
      <c r="H3" s="102"/>
      <c r="I3" s="100" t="s">
        <v>44</v>
      </c>
      <c r="J3" s="101"/>
      <c r="K3" s="101"/>
      <c r="L3" s="102"/>
      <c r="M3" s="100" t="s">
        <v>1</v>
      </c>
      <c r="N3" s="101"/>
      <c r="O3" s="101"/>
      <c r="P3" s="101"/>
      <c r="Q3" s="101"/>
      <c r="R3" s="101"/>
      <c r="S3" s="106" t="s">
        <v>2</v>
      </c>
      <c r="T3" s="107"/>
    </row>
    <row r="4" spans="1:32" ht="23.25" customHeight="1" thickBot="1">
      <c r="A4" s="103"/>
      <c r="B4" s="104"/>
      <c r="C4" s="105"/>
      <c r="D4" s="103"/>
      <c r="E4" s="105"/>
      <c r="F4" s="103"/>
      <c r="G4" s="104"/>
      <c r="H4" s="105"/>
      <c r="I4" s="103"/>
      <c r="J4" s="104"/>
      <c r="K4" s="104"/>
      <c r="L4" s="105"/>
      <c r="M4" s="103"/>
      <c r="N4" s="104"/>
      <c r="O4" s="104"/>
      <c r="P4" s="104"/>
      <c r="Q4" s="104"/>
      <c r="R4" s="104"/>
      <c r="S4" s="108"/>
      <c r="T4" s="109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5.75" customHeight="1">
      <c r="A5" s="3"/>
      <c r="B5" s="3"/>
      <c r="C5" s="3"/>
      <c r="D5" s="110" t="s">
        <v>3</v>
      </c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</row>
    <row r="6" spans="1:32" ht="9.75" customHeight="1" thickBot="1">
      <c r="A6" s="4"/>
      <c r="B6" s="4"/>
      <c r="C6" s="4"/>
      <c r="D6" s="111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</row>
    <row r="7" spans="1:32" ht="16.5" customHeight="1" thickBot="1">
      <c r="A7" s="113" t="s">
        <v>4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</row>
    <row r="8" spans="1:32" ht="11.25" customHeight="1">
      <c r="A8" s="5"/>
      <c r="B8" s="6"/>
      <c r="C8" s="6"/>
      <c r="D8" s="7"/>
      <c r="E8" s="7"/>
      <c r="F8" s="7"/>
      <c r="G8" s="8"/>
      <c r="H8" s="114" t="s">
        <v>5</v>
      </c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6"/>
    </row>
    <row r="9" spans="1:32" ht="12" customHeight="1">
      <c r="A9" s="9"/>
      <c r="B9" s="49"/>
      <c r="C9" s="10" t="s">
        <v>166</v>
      </c>
      <c r="D9" s="10"/>
      <c r="E9" s="10"/>
      <c r="F9" s="10"/>
      <c r="G9" s="11"/>
      <c r="H9" s="85" t="s">
        <v>6</v>
      </c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7"/>
    </row>
    <row r="10" spans="1:32" ht="12" customHeight="1">
      <c r="A10" s="9"/>
      <c r="B10" s="49"/>
      <c r="C10" s="10" t="s">
        <v>167</v>
      </c>
      <c r="D10" s="12"/>
      <c r="E10" s="13"/>
      <c r="F10" s="13"/>
      <c r="G10" s="14"/>
      <c r="H10" s="85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7"/>
    </row>
    <row r="11" spans="1:32" ht="10.8" thickBot="1">
      <c r="A11" s="15"/>
      <c r="B11" s="19"/>
      <c r="C11" s="16"/>
      <c r="D11" s="17"/>
      <c r="E11" s="16"/>
      <c r="F11" s="16"/>
      <c r="G11" s="18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20"/>
    </row>
    <row r="12" spans="1:32" ht="34.5" customHeight="1" thickBot="1">
      <c r="A12" s="159" t="s">
        <v>7</v>
      </c>
      <c r="B12" s="117" t="s">
        <v>61</v>
      </c>
      <c r="C12" s="117" t="s">
        <v>77</v>
      </c>
      <c r="D12" s="117" t="s">
        <v>8</v>
      </c>
      <c r="E12" s="117" t="s">
        <v>9</v>
      </c>
      <c r="F12" s="119" t="s">
        <v>10</v>
      </c>
      <c r="G12" s="120"/>
      <c r="H12" s="121"/>
      <c r="I12" s="125" t="s">
        <v>11</v>
      </c>
      <c r="J12" s="126"/>
      <c r="K12" s="126"/>
      <c r="L12" s="126"/>
      <c r="M12" s="126"/>
      <c r="N12" s="127"/>
      <c r="O12" s="21" t="s">
        <v>12</v>
      </c>
      <c r="P12" s="128" t="s">
        <v>13</v>
      </c>
      <c r="Q12" s="129"/>
      <c r="R12" s="100" t="s">
        <v>14</v>
      </c>
      <c r="S12" s="117" t="s">
        <v>15</v>
      </c>
      <c r="T12" s="21"/>
    </row>
    <row r="13" spans="1:32" ht="23.25" customHeight="1" thickBot="1">
      <c r="A13" s="160"/>
      <c r="B13" s="118"/>
      <c r="C13" s="118"/>
      <c r="D13" s="118"/>
      <c r="E13" s="118"/>
      <c r="F13" s="122"/>
      <c r="G13" s="123"/>
      <c r="H13" s="124"/>
      <c r="I13" s="23" t="s">
        <v>16</v>
      </c>
      <c r="J13" s="24" t="s">
        <v>17</v>
      </c>
      <c r="K13" s="24" t="s">
        <v>18</v>
      </c>
      <c r="L13" s="24" t="s">
        <v>19</v>
      </c>
      <c r="M13" s="24" t="s">
        <v>20</v>
      </c>
      <c r="N13" s="25" t="s">
        <v>21</v>
      </c>
      <c r="O13" s="22" t="s">
        <v>22</v>
      </c>
      <c r="P13" s="26" t="s">
        <v>23</v>
      </c>
      <c r="Q13" s="75" t="s">
        <v>24</v>
      </c>
      <c r="R13" s="132"/>
      <c r="S13" s="118"/>
      <c r="T13" s="22"/>
      <c r="Y13" s="1" t="s">
        <v>25</v>
      </c>
    </row>
    <row r="14" spans="1:32" ht="22.5" customHeight="1">
      <c r="A14" s="160"/>
      <c r="B14" s="118"/>
      <c r="C14" s="118"/>
      <c r="D14" s="118"/>
      <c r="E14" s="118"/>
      <c r="F14" s="133" t="s">
        <v>26</v>
      </c>
      <c r="G14" s="135" t="s">
        <v>27</v>
      </c>
      <c r="H14" s="137" t="s">
        <v>85</v>
      </c>
      <c r="I14" s="139" t="s">
        <v>28</v>
      </c>
      <c r="J14" s="140"/>
      <c r="K14" s="140"/>
      <c r="L14" s="140"/>
      <c r="M14" s="141"/>
      <c r="N14" s="28" t="s">
        <v>28</v>
      </c>
      <c r="O14" s="29" t="s">
        <v>29</v>
      </c>
      <c r="P14" s="142" t="s">
        <v>30</v>
      </c>
      <c r="Q14" s="143"/>
      <c r="R14" s="132"/>
      <c r="S14" s="118"/>
      <c r="T14" s="22" t="s">
        <v>31</v>
      </c>
    </row>
    <row r="15" spans="1:32" ht="22.5" customHeight="1">
      <c r="A15" s="160"/>
      <c r="B15" s="118"/>
      <c r="C15" s="118"/>
      <c r="D15" s="118"/>
      <c r="E15" s="118"/>
      <c r="F15" s="134"/>
      <c r="G15" s="136"/>
      <c r="H15" s="138"/>
      <c r="I15" s="144" t="s">
        <v>32</v>
      </c>
      <c r="J15" s="145"/>
      <c r="K15" s="145"/>
      <c r="L15" s="145"/>
      <c r="M15" s="145"/>
      <c r="N15" s="145"/>
      <c r="O15" s="145"/>
      <c r="P15" s="145"/>
      <c r="Q15" s="146"/>
      <c r="R15" s="132"/>
      <c r="S15" s="118"/>
      <c r="T15" s="22"/>
    </row>
    <row r="16" spans="1:32" ht="36" customHeight="1" thickBot="1">
      <c r="A16" s="160"/>
      <c r="B16" s="118"/>
      <c r="C16" s="118"/>
      <c r="D16" s="118"/>
      <c r="E16" s="118"/>
      <c r="F16" s="134"/>
      <c r="G16" s="136"/>
      <c r="H16" s="138"/>
      <c r="I16" s="30">
        <v>0.3</v>
      </c>
      <c r="J16" s="31" t="s">
        <v>103</v>
      </c>
      <c r="K16" s="31" t="s">
        <v>103</v>
      </c>
      <c r="L16" s="31" t="s">
        <v>103</v>
      </c>
      <c r="M16" s="32" t="s">
        <v>36</v>
      </c>
      <c r="N16" s="33" t="s">
        <v>54</v>
      </c>
      <c r="O16" s="31" t="s">
        <v>103</v>
      </c>
      <c r="P16" s="31" t="s">
        <v>103</v>
      </c>
      <c r="Q16" s="31" t="s">
        <v>103</v>
      </c>
      <c r="R16" s="132"/>
      <c r="S16" s="118"/>
      <c r="T16" s="22"/>
    </row>
    <row r="17" spans="1:20" ht="20.100000000000001" customHeight="1">
      <c r="A17" s="155"/>
      <c r="B17" s="157"/>
      <c r="C17" s="153"/>
      <c r="D17" s="147"/>
      <c r="E17" s="37"/>
      <c r="F17" s="147"/>
      <c r="G17" s="149"/>
      <c r="H17" s="151"/>
      <c r="I17" s="38"/>
      <c r="J17" s="39"/>
      <c r="K17" s="39"/>
      <c r="L17" s="40"/>
      <c r="M17" s="39"/>
      <c r="N17" s="40"/>
      <c r="O17" s="41"/>
      <c r="P17" s="42"/>
      <c r="Q17" s="42"/>
      <c r="R17" s="43"/>
      <c r="S17" s="37"/>
      <c r="T17" s="47"/>
    </row>
    <row r="18" spans="1:20" ht="20.100000000000001" customHeight="1" thickBot="1">
      <c r="A18" s="156"/>
      <c r="B18" s="158"/>
      <c r="C18" s="154"/>
      <c r="D18" s="148"/>
      <c r="E18" s="44"/>
      <c r="F18" s="148"/>
      <c r="G18" s="150"/>
      <c r="H18" s="152"/>
      <c r="I18" s="44"/>
      <c r="J18" s="51"/>
      <c r="K18" s="50"/>
      <c r="L18" s="50"/>
      <c r="M18" s="50"/>
      <c r="N18" s="52"/>
      <c r="O18" s="53"/>
      <c r="P18" s="51"/>
      <c r="Q18" s="51"/>
      <c r="R18" s="54"/>
      <c r="S18" s="45"/>
      <c r="T18" s="48"/>
    </row>
    <row r="19" spans="1:20" ht="20.100000000000001" customHeight="1">
      <c r="A19" s="155"/>
      <c r="B19" s="157"/>
      <c r="C19" s="153"/>
      <c r="D19" s="147"/>
      <c r="E19" s="37"/>
      <c r="F19" s="147"/>
      <c r="G19" s="149"/>
      <c r="H19" s="151"/>
      <c r="I19" s="38"/>
      <c r="J19" s="39"/>
      <c r="K19" s="39"/>
      <c r="L19" s="40"/>
      <c r="M19" s="39"/>
      <c r="N19" s="40"/>
      <c r="O19" s="41"/>
      <c r="P19" s="42"/>
      <c r="Q19" s="42"/>
      <c r="R19" s="43"/>
      <c r="S19" s="37"/>
      <c r="T19" s="47"/>
    </row>
    <row r="20" spans="1:20" ht="20.100000000000001" customHeight="1" thickBot="1">
      <c r="A20" s="156"/>
      <c r="B20" s="158"/>
      <c r="C20" s="154"/>
      <c r="D20" s="148"/>
      <c r="E20" s="44"/>
      <c r="F20" s="148"/>
      <c r="G20" s="150"/>
      <c r="H20" s="152"/>
      <c r="I20" s="44"/>
      <c r="J20" s="51"/>
      <c r="K20" s="50"/>
      <c r="L20" s="50"/>
      <c r="M20" s="50"/>
      <c r="N20" s="52"/>
      <c r="O20" s="53"/>
      <c r="P20" s="51"/>
      <c r="Q20" s="51"/>
      <c r="R20" s="54"/>
      <c r="S20" s="45"/>
      <c r="T20" s="48"/>
    </row>
    <row r="21" spans="1:20" ht="20.100000000000001" customHeight="1"/>
    <row r="22" spans="1:20" ht="20.100000000000001" customHeight="1"/>
    <row r="23" spans="1:20" ht="20.100000000000001" customHeight="1"/>
    <row r="24" spans="1:20" ht="20.100000000000001" customHeight="1"/>
    <row r="25" spans="1:20" ht="20.100000000000001" customHeight="1">
      <c r="H25"/>
    </row>
    <row r="26" spans="1:20" ht="20.100000000000001" customHeight="1"/>
    <row r="27" spans="1:20" ht="20.100000000000001" customHeight="1"/>
    <row r="28" spans="1:20" ht="20.100000000000001" customHeight="1"/>
    <row r="29" spans="1:20" ht="20.100000000000001" customHeight="1"/>
    <row r="30" spans="1:20" ht="20.100000000000001" customHeight="1"/>
    <row r="31" spans="1:20" ht="20.100000000000001" customHeight="1"/>
    <row r="32" spans="1:20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spans="32:32" ht="20.100000000000001" customHeight="1"/>
    <row r="338" spans="32:32" ht="20.100000000000001" customHeight="1"/>
    <row r="339" spans="32:32" ht="20.100000000000001" customHeight="1"/>
    <row r="340" spans="32:32" ht="20.100000000000001" customHeight="1"/>
    <row r="341" spans="32:32" ht="20.100000000000001" customHeight="1"/>
    <row r="342" spans="32:32" ht="20.100000000000001" customHeight="1"/>
    <row r="343" spans="32:32" ht="20.100000000000001" customHeight="1">
      <c r="AF343" s="1" t="s">
        <v>39</v>
      </c>
    </row>
  </sheetData>
  <autoFilter ref="A12:T18" xr:uid="{2023D5D9-0A37-4427-912B-90F76B223594}"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2" showButton="0"/>
    <filterColumn colId="15" showButton="0"/>
  </autoFilter>
  <mergeCells count="44">
    <mergeCell ref="H10:T10"/>
    <mergeCell ref="A1:D2"/>
    <mergeCell ref="E1:U2"/>
    <mergeCell ref="A3:C4"/>
    <mergeCell ref="D3:E4"/>
    <mergeCell ref="F3:H4"/>
    <mergeCell ref="I3:L4"/>
    <mergeCell ref="M3:R4"/>
    <mergeCell ref="S3:T4"/>
    <mergeCell ref="D5:T5"/>
    <mergeCell ref="D6:T6"/>
    <mergeCell ref="A7:T7"/>
    <mergeCell ref="H8:T8"/>
    <mergeCell ref="H9:T9"/>
    <mergeCell ref="A12:A16"/>
    <mergeCell ref="B12:B16"/>
    <mergeCell ref="C12:C16"/>
    <mergeCell ref="D12:D16"/>
    <mergeCell ref="E12:E16"/>
    <mergeCell ref="I12:N12"/>
    <mergeCell ref="P12:Q12"/>
    <mergeCell ref="R12:R16"/>
    <mergeCell ref="S12:S16"/>
    <mergeCell ref="F14:F16"/>
    <mergeCell ref="G14:G16"/>
    <mergeCell ref="H14:H16"/>
    <mergeCell ref="I14:M14"/>
    <mergeCell ref="P14:Q14"/>
    <mergeCell ref="I15:Q15"/>
    <mergeCell ref="F12:H13"/>
    <mergeCell ref="H17:H18"/>
    <mergeCell ref="A19:A20"/>
    <mergeCell ref="B19:B20"/>
    <mergeCell ref="C19:C20"/>
    <mergeCell ref="D19:D20"/>
    <mergeCell ref="F19:F20"/>
    <mergeCell ref="G19:G20"/>
    <mergeCell ref="H19:H20"/>
    <mergeCell ref="A17:A18"/>
    <mergeCell ref="B17:B18"/>
    <mergeCell ref="C17:C18"/>
    <mergeCell ref="D17:D18"/>
    <mergeCell ref="F17:F18"/>
    <mergeCell ref="G17:G18"/>
  </mergeCells>
  <conditionalFormatting sqref="I17:I20">
    <cfRule type="cellIs" dxfId="131" priority="13" operator="lessThan">
      <formula>0.2</formula>
    </cfRule>
    <cfRule type="cellIs" dxfId="130" priority="14" operator="greaterThan">
      <formula>0.5</formula>
    </cfRule>
  </conditionalFormatting>
  <conditionalFormatting sqref="J1:J16 J21:J1048576">
    <cfRule type="cellIs" dxfId="129" priority="22" operator="between">
      <formula>0</formula>
      <formula>1.5</formula>
    </cfRule>
  </conditionalFormatting>
  <conditionalFormatting sqref="J17:J20">
    <cfRule type="cellIs" dxfId="128" priority="12" operator="lessThan">
      <formula>1.5</formula>
    </cfRule>
  </conditionalFormatting>
  <conditionalFormatting sqref="K1:L15 K21:L1048576">
    <cfRule type="cellIs" dxfId="127" priority="23" operator="between">
      <formula>0</formula>
      <formula>7.5</formula>
    </cfRule>
  </conditionalFormatting>
  <conditionalFormatting sqref="K16:L16">
    <cfRule type="cellIs" dxfId="126" priority="4" operator="between">
      <formula>0</formula>
      <formula>1.5</formula>
    </cfRule>
  </conditionalFormatting>
  <conditionalFormatting sqref="K17:L20">
    <cfRule type="cellIs" dxfId="125" priority="11" operator="lessThan">
      <formula>7.5</formula>
    </cfRule>
  </conditionalFormatting>
  <conditionalFormatting sqref="M1:M16 M21:M1048576">
    <cfRule type="cellIs" dxfId="124" priority="21" operator="between">
      <formula>0</formula>
      <formula>16.5</formula>
    </cfRule>
  </conditionalFormatting>
  <conditionalFormatting sqref="M17:M20">
    <cfRule type="cellIs" dxfId="123" priority="10" operator="lessThan">
      <formula>16.5</formula>
    </cfRule>
  </conditionalFormatting>
  <conditionalFormatting sqref="N1:N16 N21:N1048576">
    <cfRule type="cellIs" dxfId="122" priority="20" operator="between">
      <formula>0</formula>
      <formula>25</formula>
    </cfRule>
  </conditionalFormatting>
  <conditionalFormatting sqref="N17:N20">
    <cfRule type="cellIs" dxfId="121" priority="9" operator="lessThan">
      <formula>25</formula>
    </cfRule>
  </conditionalFormatting>
  <conditionalFormatting sqref="O1:O15 O21:O1048576">
    <cfRule type="cellIs" priority="19" operator="between">
      <formula>0</formula>
      <formula>8000</formula>
    </cfRule>
  </conditionalFormatting>
  <conditionalFormatting sqref="O17:O20">
    <cfRule type="cellIs" dxfId="120" priority="8" operator="lessThan">
      <formula>8000</formula>
    </cfRule>
  </conditionalFormatting>
  <conditionalFormatting sqref="O16:Q16">
    <cfRule type="cellIs" dxfId="119" priority="1" operator="between">
      <formula>0</formula>
      <formula>1.5</formula>
    </cfRule>
  </conditionalFormatting>
  <conditionalFormatting sqref="P1:P15 P21:P1048576">
    <cfRule type="cellIs" dxfId="118" priority="18" operator="between">
      <formula>0</formula>
      <formula>19</formula>
    </cfRule>
  </conditionalFormatting>
  <conditionalFormatting sqref="P17:P20">
    <cfRule type="cellIs" dxfId="117" priority="7" operator="lessThan">
      <formula>20</formula>
    </cfRule>
  </conditionalFormatting>
  <conditionalFormatting sqref="Q1:Q15 Q21:Q1048576">
    <cfRule type="cellIs" dxfId="116" priority="17" operator="between">
      <formula>0</formula>
      <formula>99</formula>
    </cfRule>
  </conditionalFormatting>
  <conditionalFormatting sqref="Q17:Q20">
    <cfRule type="cellIs" dxfId="115" priority="6" operator="lessThan">
      <formula>100</formula>
    </cfRule>
  </conditionalFormatting>
  <conditionalFormatting sqref="R1:R1048576">
    <cfRule type="cellIs" dxfId="114" priority="15" operator="between">
      <formula>"FAIL"</formula>
      <formula>"FAIL"</formula>
    </cfRule>
    <cfRule type="cellIs" dxfId="113" priority="16" operator="between">
      <formula>"PASS"</formula>
      <formula>"PASS"</formula>
    </cfRule>
  </conditionalFormatting>
  <printOptions horizontalCentered="1"/>
  <pageMargins left="0.19685039370078741" right="0.19685039370078741" top="0.19685039370078741" bottom="0.19685039370078741" header="0.11811023622047245" footer="0.15748031496062992"/>
  <pageSetup scale="31" orientation="landscape" horizontalDpi="4294967293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9013D-6BDF-4A60-A078-F81DFC1C78F7}">
  <dimension ref="A1:AF343"/>
  <sheetViews>
    <sheetView view="pageBreakPreview" zoomScale="80" zoomScaleNormal="100" zoomScaleSheetLayoutView="80" workbookViewId="0">
      <pane ySplit="16" topLeftCell="A17" activePane="bottomLeft" state="frozen"/>
      <selection pane="bottomLeft" activeCell="O27" sqref="O27"/>
    </sheetView>
  </sheetViews>
  <sheetFormatPr baseColWidth="10" defaultColWidth="9.33203125" defaultRowHeight="10.199999999999999"/>
  <cols>
    <col min="1" max="1" width="5.33203125" style="1" customWidth="1"/>
    <col min="2" max="2" width="16.6640625" style="1" customWidth="1"/>
    <col min="3" max="3" width="17.6640625" style="1" customWidth="1"/>
    <col min="4" max="4" width="14.6640625" style="1" customWidth="1"/>
    <col min="5" max="5" width="11" style="1" customWidth="1"/>
    <col min="6" max="6" width="11.33203125" style="1" customWidth="1"/>
    <col min="7" max="7" width="6.6640625" style="1" customWidth="1"/>
    <col min="8" max="8" width="11.33203125" style="1" customWidth="1"/>
    <col min="9" max="9" width="8.44140625" style="1" customWidth="1"/>
    <col min="10" max="10" width="5.33203125" style="1" customWidth="1"/>
    <col min="11" max="11" width="6.109375" style="1" customWidth="1"/>
    <col min="12" max="12" width="11.6640625" style="1" customWidth="1"/>
    <col min="13" max="13" width="9" style="1" customWidth="1"/>
    <col min="14" max="14" width="5.33203125" style="1" customWidth="1"/>
    <col min="15" max="15" width="10.88671875" style="1" customWidth="1"/>
    <col min="16" max="16" width="7.44140625" style="1" bestFit="1" customWidth="1"/>
    <col min="17" max="17" width="8" style="1" bestFit="1" customWidth="1"/>
    <col min="18" max="18" width="9.88671875" style="1" customWidth="1"/>
    <col min="19" max="19" width="14.88671875" style="46" customWidth="1"/>
    <col min="20" max="20" width="33" style="46" customWidth="1"/>
    <col min="21" max="16384" width="9.33203125" style="1"/>
  </cols>
  <sheetData>
    <row r="1" spans="1:32" ht="21" customHeight="1">
      <c r="A1" s="88" t="s">
        <v>40</v>
      </c>
      <c r="B1" s="89"/>
      <c r="C1" s="89"/>
      <c r="D1" s="90"/>
      <c r="E1" s="94" t="s">
        <v>0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6"/>
    </row>
    <row r="2" spans="1:32" ht="29.25" customHeight="1" thickBot="1">
      <c r="A2" s="91"/>
      <c r="B2" s="92"/>
      <c r="C2" s="92"/>
      <c r="D2" s="93"/>
      <c r="E2" s="97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9"/>
    </row>
    <row r="3" spans="1:32" ht="22.5" customHeight="1">
      <c r="A3" s="100" t="s">
        <v>41</v>
      </c>
      <c r="B3" s="101"/>
      <c r="C3" s="102"/>
      <c r="D3" s="100" t="s">
        <v>42</v>
      </c>
      <c r="E3" s="102"/>
      <c r="F3" s="100" t="s">
        <v>43</v>
      </c>
      <c r="G3" s="101"/>
      <c r="H3" s="102"/>
      <c r="I3" s="100" t="s">
        <v>44</v>
      </c>
      <c r="J3" s="101"/>
      <c r="K3" s="101"/>
      <c r="L3" s="102"/>
      <c r="M3" s="100" t="s">
        <v>1</v>
      </c>
      <c r="N3" s="101"/>
      <c r="O3" s="101"/>
      <c r="P3" s="101"/>
      <c r="Q3" s="101"/>
      <c r="R3" s="101"/>
      <c r="S3" s="106" t="s">
        <v>2</v>
      </c>
      <c r="T3" s="107"/>
    </row>
    <row r="4" spans="1:32" ht="23.25" customHeight="1" thickBot="1">
      <c r="A4" s="103"/>
      <c r="B4" s="104"/>
      <c r="C4" s="105"/>
      <c r="D4" s="103"/>
      <c r="E4" s="105"/>
      <c r="F4" s="103"/>
      <c r="G4" s="104"/>
      <c r="H4" s="105"/>
      <c r="I4" s="103"/>
      <c r="J4" s="104"/>
      <c r="K4" s="104"/>
      <c r="L4" s="105"/>
      <c r="M4" s="103"/>
      <c r="N4" s="104"/>
      <c r="O4" s="104"/>
      <c r="P4" s="104"/>
      <c r="Q4" s="104"/>
      <c r="R4" s="104"/>
      <c r="S4" s="108"/>
      <c r="T4" s="109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5.75" customHeight="1">
      <c r="A5" s="3"/>
      <c r="B5" s="3"/>
      <c r="C5" s="3"/>
      <c r="D5" s="110" t="s">
        <v>3</v>
      </c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</row>
    <row r="6" spans="1:32" ht="9.75" customHeight="1" thickBot="1">
      <c r="A6" s="4"/>
      <c r="B6" s="4"/>
      <c r="C6" s="4"/>
      <c r="D6" s="111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</row>
    <row r="7" spans="1:32" ht="16.5" customHeight="1" thickBot="1">
      <c r="A7" s="113" t="s">
        <v>4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</row>
    <row r="8" spans="1:32" ht="11.25" customHeight="1">
      <c r="A8" s="5"/>
      <c r="B8" s="6"/>
      <c r="C8" s="6"/>
      <c r="D8" s="7"/>
      <c r="E8" s="7"/>
      <c r="F8" s="7"/>
      <c r="G8" s="8"/>
      <c r="H8" s="114" t="s">
        <v>5</v>
      </c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6"/>
    </row>
    <row r="9" spans="1:32" ht="12" customHeight="1">
      <c r="A9" s="9"/>
      <c r="B9" s="49"/>
      <c r="C9" s="10" t="s">
        <v>168</v>
      </c>
      <c r="D9" s="10"/>
      <c r="E9" s="10"/>
      <c r="F9" s="10"/>
      <c r="G9" s="11"/>
      <c r="H9" s="85" t="s">
        <v>6</v>
      </c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7"/>
    </row>
    <row r="10" spans="1:32" ht="12" customHeight="1">
      <c r="A10" s="9"/>
      <c r="B10" s="49"/>
      <c r="C10" s="10" t="s">
        <v>169</v>
      </c>
      <c r="D10" s="12"/>
      <c r="E10" s="13"/>
      <c r="F10" s="13"/>
      <c r="G10" s="14"/>
      <c r="H10" s="85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7"/>
    </row>
    <row r="11" spans="1:32" ht="10.8" thickBot="1">
      <c r="A11" s="15"/>
      <c r="B11" s="19"/>
      <c r="C11" s="16"/>
      <c r="D11" s="17"/>
      <c r="E11" s="16"/>
      <c r="F11" s="16"/>
      <c r="G11" s="18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20"/>
    </row>
    <row r="12" spans="1:32" ht="34.5" customHeight="1" thickBot="1">
      <c r="A12" s="159" t="s">
        <v>7</v>
      </c>
      <c r="B12" s="117" t="s">
        <v>61</v>
      </c>
      <c r="C12" s="117" t="s">
        <v>77</v>
      </c>
      <c r="D12" s="117" t="s">
        <v>8</v>
      </c>
      <c r="E12" s="117" t="s">
        <v>9</v>
      </c>
      <c r="F12" s="119" t="s">
        <v>10</v>
      </c>
      <c r="G12" s="120"/>
      <c r="H12" s="121"/>
      <c r="I12" s="125" t="s">
        <v>11</v>
      </c>
      <c r="J12" s="126"/>
      <c r="K12" s="126"/>
      <c r="L12" s="126"/>
      <c r="M12" s="126"/>
      <c r="N12" s="127"/>
      <c r="O12" s="21" t="s">
        <v>12</v>
      </c>
      <c r="P12" s="128" t="s">
        <v>13</v>
      </c>
      <c r="Q12" s="129"/>
      <c r="R12" s="100" t="s">
        <v>14</v>
      </c>
      <c r="S12" s="117" t="s">
        <v>15</v>
      </c>
      <c r="T12" s="21"/>
    </row>
    <row r="13" spans="1:32" ht="23.25" customHeight="1" thickBot="1">
      <c r="A13" s="160"/>
      <c r="B13" s="118"/>
      <c r="C13" s="118"/>
      <c r="D13" s="118"/>
      <c r="E13" s="118"/>
      <c r="F13" s="122"/>
      <c r="G13" s="123"/>
      <c r="H13" s="124"/>
      <c r="I13" s="23" t="s">
        <v>16</v>
      </c>
      <c r="J13" s="24" t="s">
        <v>17</v>
      </c>
      <c r="K13" s="24" t="s">
        <v>18</v>
      </c>
      <c r="L13" s="24" t="s">
        <v>19</v>
      </c>
      <c r="M13" s="24" t="s">
        <v>20</v>
      </c>
      <c r="N13" s="25" t="s">
        <v>21</v>
      </c>
      <c r="O13" s="22" t="s">
        <v>22</v>
      </c>
      <c r="P13" s="26" t="s">
        <v>23</v>
      </c>
      <c r="Q13" s="75" t="s">
        <v>24</v>
      </c>
      <c r="R13" s="132"/>
      <c r="S13" s="118"/>
      <c r="T13" s="22"/>
      <c r="Y13" s="1" t="s">
        <v>25</v>
      </c>
    </row>
    <row r="14" spans="1:32" ht="22.5" customHeight="1">
      <c r="A14" s="160"/>
      <c r="B14" s="118"/>
      <c r="C14" s="118"/>
      <c r="D14" s="118"/>
      <c r="E14" s="118"/>
      <c r="F14" s="133" t="s">
        <v>26</v>
      </c>
      <c r="G14" s="135" t="s">
        <v>27</v>
      </c>
      <c r="H14" s="137" t="s">
        <v>85</v>
      </c>
      <c r="I14" s="139" t="s">
        <v>28</v>
      </c>
      <c r="J14" s="140"/>
      <c r="K14" s="140"/>
      <c r="L14" s="140"/>
      <c r="M14" s="141"/>
      <c r="N14" s="28" t="s">
        <v>28</v>
      </c>
      <c r="O14" s="29" t="s">
        <v>29</v>
      </c>
      <c r="P14" s="142" t="s">
        <v>30</v>
      </c>
      <c r="Q14" s="143"/>
      <c r="R14" s="132"/>
      <c r="S14" s="118"/>
      <c r="T14" s="22" t="s">
        <v>31</v>
      </c>
    </row>
    <row r="15" spans="1:32" ht="22.5" customHeight="1">
      <c r="A15" s="160"/>
      <c r="B15" s="118"/>
      <c r="C15" s="118"/>
      <c r="D15" s="118"/>
      <c r="E15" s="118"/>
      <c r="F15" s="134"/>
      <c r="G15" s="136"/>
      <c r="H15" s="138"/>
      <c r="I15" s="144" t="s">
        <v>32</v>
      </c>
      <c r="J15" s="145"/>
      <c r="K15" s="145"/>
      <c r="L15" s="145"/>
      <c r="M15" s="145"/>
      <c r="N15" s="145"/>
      <c r="O15" s="145"/>
      <c r="P15" s="145"/>
      <c r="Q15" s="146"/>
      <c r="R15" s="132"/>
      <c r="S15" s="118"/>
      <c r="T15" s="22"/>
    </row>
    <row r="16" spans="1:32" ht="36" customHeight="1" thickBot="1">
      <c r="A16" s="160"/>
      <c r="B16" s="118"/>
      <c r="C16" s="118"/>
      <c r="D16" s="118"/>
      <c r="E16" s="118"/>
      <c r="F16" s="134"/>
      <c r="G16" s="136"/>
      <c r="H16" s="138"/>
      <c r="I16" s="30">
        <v>0.2</v>
      </c>
      <c r="J16" s="31">
        <v>1</v>
      </c>
      <c r="K16" s="31">
        <v>8</v>
      </c>
      <c r="L16" s="31">
        <v>13</v>
      </c>
      <c r="M16" s="32">
        <v>21</v>
      </c>
      <c r="N16" s="33">
        <v>20</v>
      </c>
      <c r="O16" s="31" t="s">
        <v>103</v>
      </c>
      <c r="P16" s="77" t="s">
        <v>171</v>
      </c>
      <c r="Q16" s="31" t="s">
        <v>170</v>
      </c>
      <c r="R16" s="132"/>
      <c r="S16" s="118"/>
      <c r="T16" s="22"/>
    </row>
    <row r="17" spans="1:20" ht="20.100000000000001" customHeight="1">
      <c r="A17" s="155"/>
      <c r="B17" s="157"/>
      <c r="C17" s="153"/>
      <c r="D17" s="147"/>
      <c r="E17" s="37"/>
      <c r="F17" s="147"/>
      <c r="G17" s="149"/>
      <c r="H17" s="151"/>
      <c r="I17" s="38"/>
      <c r="J17" s="39"/>
      <c r="K17" s="39"/>
      <c r="L17" s="40"/>
      <c r="M17" s="39"/>
      <c r="N17" s="40"/>
      <c r="O17" s="41"/>
      <c r="P17" s="42"/>
      <c r="Q17" s="42"/>
      <c r="R17" s="43"/>
      <c r="S17" s="37"/>
      <c r="T17" s="47"/>
    </row>
    <row r="18" spans="1:20" ht="20.100000000000001" customHeight="1" thickBot="1">
      <c r="A18" s="156"/>
      <c r="B18" s="158"/>
      <c r="C18" s="154"/>
      <c r="D18" s="148"/>
      <c r="E18" s="44"/>
      <c r="F18" s="148"/>
      <c r="G18" s="150"/>
      <c r="H18" s="152"/>
      <c r="I18" s="44"/>
      <c r="J18" s="51"/>
      <c r="K18" s="50"/>
      <c r="L18" s="50"/>
      <c r="M18" s="50"/>
      <c r="N18" s="52"/>
      <c r="O18" s="53"/>
      <c r="P18" s="51"/>
      <c r="Q18" s="51"/>
      <c r="R18" s="54"/>
      <c r="S18" s="45"/>
      <c r="T18" s="48"/>
    </row>
    <row r="19" spans="1:20" ht="20.100000000000001" customHeight="1">
      <c r="A19" s="155"/>
      <c r="B19" s="157"/>
      <c r="C19" s="153"/>
      <c r="D19" s="147"/>
      <c r="E19" s="37"/>
      <c r="F19" s="147"/>
      <c r="G19" s="149"/>
      <c r="H19" s="151"/>
      <c r="I19" s="38"/>
      <c r="J19" s="39"/>
      <c r="K19" s="39"/>
      <c r="L19" s="40"/>
      <c r="M19" s="39"/>
      <c r="N19" s="40"/>
      <c r="O19" s="41"/>
      <c r="P19" s="42"/>
      <c r="Q19" s="42"/>
      <c r="R19" s="43"/>
      <c r="S19" s="37"/>
      <c r="T19" s="47"/>
    </row>
    <row r="20" spans="1:20" ht="20.100000000000001" customHeight="1" thickBot="1">
      <c r="A20" s="156"/>
      <c r="B20" s="158"/>
      <c r="C20" s="154"/>
      <c r="D20" s="148"/>
      <c r="E20" s="44"/>
      <c r="F20" s="148"/>
      <c r="G20" s="150"/>
      <c r="H20" s="152"/>
      <c r="I20" s="44"/>
      <c r="J20" s="51"/>
      <c r="K20" s="50"/>
      <c r="L20" s="50"/>
      <c r="M20" s="50"/>
      <c r="N20" s="52"/>
      <c r="O20" s="53"/>
      <c r="P20" s="51"/>
      <c r="Q20" s="51"/>
      <c r="R20" s="54"/>
      <c r="S20" s="45"/>
      <c r="T20" s="48"/>
    </row>
    <row r="21" spans="1:20" ht="20.100000000000001" customHeight="1"/>
    <row r="22" spans="1:20" ht="20.100000000000001" customHeight="1"/>
    <row r="23" spans="1:20" ht="20.100000000000001" customHeight="1"/>
    <row r="24" spans="1:20" ht="20.100000000000001" customHeight="1"/>
    <row r="25" spans="1:20" ht="20.100000000000001" customHeight="1">
      <c r="H25"/>
    </row>
    <row r="26" spans="1:20" ht="20.100000000000001" customHeight="1"/>
    <row r="27" spans="1:20" ht="20.100000000000001" customHeight="1"/>
    <row r="28" spans="1:20" ht="20.100000000000001" customHeight="1"/>
    <row r="29" spans="1:20" ht="20.100000000000001" customHeight="1"/>
    <row r="30" spans="1:20" ht="20.100000000000001" customHeight="1"/>
    <row r="31" spans="1:20" ht="20.100000000000001" customHeight="1"/>
    <row r="32" spans="1:20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spans="32:32" ht="20.100000000000001" customHeight="1"/>
    <row r="338" spans="32:32" ht="20.100000000000001" customHeight="1"/>
    <row r="339" spans="32:32" ht="20.100000000000001" customHeight="1"/>
    <row r="340" spans="32:32" ht="20.100000000000001" customHeight="1"/>
    <row r="341" spans="32:32" ht="20.100000000000001" customHeight="1"/>
    <row r="342" spans="32:32" ht="20.100000000000001" customHeight="1"/>
    <row r="343" spans="32:32" ht="20.100000000000001" customHeight="1">
      <c r="AF343" s="1" t="s">
        <v>39</v>
      </c>
    </row>
  </sheetData>
  <autoFilter ref="A12:T18" xr:uid="{2023D5D9-0A37-4427-912B-90F76B223594}"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2" showButton="0"/>
    <filterColumn colId="15" showButton="0"/>
  </autoFilter>
  <mergeCells count="44">
    <mergeCell ref="H10:T10"/>
    <mergeCell ref="A1:D2"/>
    <mergeCell ref="E1:U2"/>
    <mergeCell ref="A3:C4"/>
    <mergeCell ref="D3:E4"/>
    <mergeCell ref="F3:H4"/>
    <mergeCell ref="I3:L4"/>
    <mergeCell ref="M3:R4"/>
    <mergeCell ref="S3:T4"/>
    <mergeCell ref="D5:T5"/>
    <mergeCell ref="D6:T6"/>
    <mergeCell ref="A7:T7"/>
    <mergeCell ref="H8:T8"/>
    <mergeCell ref="H9:T9"/>
    <mergeCell ref="A12:A16"/>
    <mergeCell ref="B12:B16"/>
    <mergeCell ref="C12:C16"/>
    <mergeCell ref="D12:D16"/>
    <mergeCell ref="E12:E16"/>
    <mergeCell ref="I12:N12"/>
    <mergeCell ref="P12:Q12"/>
    <mergeCell ref="R12:R16"/>
    <mergeCell ref="S12:S16"/>
    <mergeCell ref="F14:F16"/>
    <mergeCell ref="G14:G16"/>
    <mergeCell ref="H14:H16"/>
    <mergeCell ref="I14:M14"/>
    <mergeCell ref="P14:Q14"/>
    <mergeCell ref="I15:Q15"/>
    <mergeCell ref="F12:H13"/>
    <mergeCell ref="H17:H18"/>
    <mergeCell ref="A19:A20"/>
    <mergeCell ref="B19:B20"/>
    <mergeCell ref="C19:C20"/>
    <mergeCell ref="D19:D20"/>
    <mergeCell ref="F19:F20"/>
    <mergeCell ref="G19:G20"/>
    <mergeCell ref="H19:H20"/>
    <mergeCell ref="A17:A18"/>
    <mergeCell ref="B17:B18"/>
    <mergeCell ref="C17:C18"/>
    <mergeCell ref="D17:D18"/>
    <mergeCell ref="F17:F18"/>
    <mergeCell ref="G17:G18"/>
  </mergeCells>
  <conditionalFormatting sqref="I17:I20">
    <cfRule type="cellIs" dxfId="112" priority="13" operator="lessThan">
      <formula>0.2</formula>
    </cfRule>
    <cfRule type="cellIs" dxfId="111" priority="14" operator="greaterThan">
      <formula>0.5</formula>
    </cfRule>
  </conditionalFormatting>
  <conditionalFormatting sqref="J1:J16 J21:J1048576">
    <cfRule type="cellIs" dxfId="110" priority="22" operator="between">
      <formula>0</formula>
      <formula>1.5</formula>
    </cfRule>
  </conditionalFormatting>
  <conditionalFormatting sqref="J17:J20">
    <cfRule type="cellIs" dxfId="109" priority="12" operator="lessThan">
      <formula>1.5</formula>
    </cfRule>
  </conditionalFormatting>
  <conditionalFormatting sqref="K1:L15 K21:L1048576">
    <cfRule type="cellIs" dxfId="108" priority="23" operator="between">
      <formula>0</formula>
      <formula>7.5</formula>
    </cfRule>
  </conditionalFormatting>
  <conditionalFormatting sqref="K16:L16">
    <cfRule type="cellIs" dxfId="107" priority="4" operator="between">
      <formula>0</formula>
      <formula>1.5</formula>
    </cfRule>
  </conditionalFormatting>
  <conditionalFormatting sqref="K17:L20">
    <cfRule type="cellIs" dxfId="106" priority="11" operator="lessThan">
      <formula>7.5</formula>
    </cfRule>
  </conditionalFormatting>
  <conditionalFormatting sqref="M1:M16 M21:M1048576">
    <cfRule type="cellIs" dxfId="105" priority="21" operator="between">
      <formula>0</formula>
      <formula>16.5</formula>
    </cfRule>
  </conditionalFormatting>
  <conditionalFormatting sqref="M17:M20">
    <cfRule type="cellIs" dxfId="104" priority="10" operator="lessThan">
      <formula>16.5</formula>
    </cfRule>
  </conditionalFormatting>
  <conditionalFormatting sqref="N1:N16 N21:N1048576">
    <cfRule type="cellIs" dxfId="103" priority="20" operator="between">
      <formula>0</formula>
      <formula>25</formula>
    </cfRule>
  </conditionalFormatting>
  <conditionalFormatting sqref="N17:N20">
    <cfRule type="cellIs" dxfId="102" priority="9" operator="lessThan">
      <formula>25</formula>
    </cfRule>
  </conditionalFormatting>
  <conditionalFormatting sqref="O1:O15 O21:O1048576">
    <cfRule type="cellIs" priority="19" operator="between">
      <formula>0</formula>
      <formula>8000</formula>
    </cfRule>
  </conditionalFormatting>
  <conditionalFormatting sqref="O17:O20">
    <cfRule type="cellIs" dxfId="101" priority="8" operator="lessThan">
      <formula>8000</formula>
    </cfRule>
  </conditionalFormatting>
  <conditionalFormatting sqref="O16:Q16">
    <cfRule type="cellIs" dxfId="100" priority="1" operator="between">
      <formula>0</formula>
      <formula>1.5</formula>
    </cfRule>
  </conditionalFormatting>
  <conditionalFormatting sqref="P1:P15 P21:P1048576">
    <cfRule type="cellIs" dxfId="99" priority="18" operator="between">
      <formula>0</formula>
      <formula>19</formula>
    </cfRule>
  </conditionalFormatting>
  <conditionalFormatting sqref="P17:P20">
    <cfRule type="cellIs" dxfId="98" priority="7" operator="lessThan">
      <formula>20</formula>
    </cfRule>
  </conditionalFormatting>
  <conditionalFormatting sqref="Q1:Q15 Q21:Q1048576">
    <cfRule type="cellIs" dxfId="97" priority="17" operator="between">
      <formula>0</formula>
      <formula>99</formula>
    </cfRule>
  </conditionalFormatting>
  <conditionalFormatting sqref="Q17:Q20">
    <cfRule type="cellIs" dxfId="96" priority="6" operator="lessThan">
      <formula>100</formula>
    </cfRule>
  </conditionalFormatting>
  <conditionalFormatting sqref="R1:R1048576">
    <cfRule type="cellIs" dxfId="95" priority="15" operator="between">
      <formula>"FAIL"</formula>
      <formula>"FAIL"</formula>
    </cfRule>
    <cfRule type="cellIs" dxfId="94" priority="16" operator="between">
      <formula>"PASS"</formula>
      <formula>"PASS"</formula>
    </cfRule>
  </conditionalFormatting>
  <printOptions horizontalCentered="1"/>
  <pageMargins left="0.19685039370078741" right="0.19685039370078741" top="0.19685039370078741" bottom="0.19685039370078741" header="0.11811023622047245" footer="0.15748031496062992"/>
  <pageSetup scale="31" orientation="landscape" horizontalDpi="4294967293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1A19-8492-4C2A-A5D8-AFAE3D93CACE}">
  <dimension ref="A1:AF343"/>
  <sheetViews>
    <sheetView view="pageBreakPreview" zoomScale="80" zoomScaleNormal="100" zoomScaleSheetLayoutView="80" workbookViewId="0">
      <pane ySplit="16" topLeftCell="A17" activePane="bottomLeft" state="frozen"/>
      <selection pane="bottomLeft" activeCell="C11" sqref="C11"/>
    </sheetView>
  </sheetViews>
  <sheetFormatPr baseColWidth="10" defaultColWidth="9.33203125" defaultRowHeight="10.199999999999999"/>
  <cols>
    <col min="1" max="1" width="5.33203125" style="1" customWidth="1"/>
    <col min="2" max="2" width="16.6640625" style="1" customWidth="1"/>
    <col min="3" max="3" width="17.6640625" style="1" customWidth="1"/>
    <col min="4" max="4" width="14.6640625" style="1" customWidth="1"/>
    <col min="5" max="5" width="11" style="1" customWidth="1"/>
    <col min="6" max="6" width="11.33203125" style="1" customWidth="1"/>
    <col min="7" max="7" width="6.6640625" style="1" customWidth="1"/>
    <col min="8" max="8" width="11.33203125" style="1" customWidth="1"/>
    <col min="9" max="9" width="8.44140625" style="1" customWidth="1"/>
    <col min="10" max="10" width="5.33203125" style="1" customWidth="1"/>
    <col min="11" max="11" width="6.109375" style="1" customWidth="1"/>
    <col min="12" max="12" width="11.6640625" style="1" customWidth="1"/>
    <col min="13" max="13" width="9" style="1" customWidth="1"/>
    <col min="14" max="14" width="5.33203125" style="1" customWidth="1"/>
    <col min="15" max="15" width="10.88671875" style="1" customWidth="1"/>
    <col min="16" max="16" width="7.44140625" style="1" bestFit="1" customWidth="1"/>
    <col min="17" max="17" width="8" style="1" bestFit="1" customWidth="1"/>
    <col min="18" max="18" width="9.88671875" style="1" customWidth="1"/>
    <col min="19" max="19" width="14.88671875" style="46" customWidth="1"/>
    <col min="20" max="20" width="33" style="46" customWidth="1"/>
    <col min="21" max="16384" width="9.33203125" style="1"/>
  </cols>
  <sheetData>
    <row r="1" spans="1:32" ht="21" customHeight="1">
      <c r="A1" s="88" t="s">
        <v>40</v>
      </c>
      <c r="B1" s="89"/>
      <c r="C1" s="89"/>
      <c r="D1" s="90"/>
      <c r="E1" s="94" t="s">
        <v>0</v>
      </c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6"/>
    </row>
    <row r="2" spans="1:32" ht="29.25" customHeight="1" thickBot="1">
      <c r="A2" s="91"/>
      <c r="B2" s="92"/>
      <c r="C2" s="92"/>
      <c r="D2" s="93"/>
      <c r="E2" s="97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9"/>
    </row>
    <row r="3" spans="1:32" ht="22.5" customHeight="1">
      <c r="A3" s="100" t="s">
        <v>41</v>
      </c>
      <c r="B3" s="101"/>
      <c r="C3" s="102"/>
      <c r="D3" s="100" t="s">
        <v>42</v>
      </c>
      <c r="E3" s="102"/>
      <c r="F3" s="100" t="s">
        <v>43</v>
      </c>
      <c r="G3" s="101"/>
      <c r="H3" s="102"/>
      <c r="I3" s="100" t="s">
        <v>44</v>
      </c>
      <c r="J3" s="101"/>
      <c r="K3" s="101"/>
      <c r="L3" s="102"/>
      <c r="M3" s="100" t="s">
        <v>1</v>
      </c>
      <c r="N3" s="101"/>
      <c r="O3" s="101"/>
      <c r="P3" s="101"/>
      <c r="Q3" s="101"/>
      <c r="R3" s="101"/>
      <c r="S3" s="106" t="s">
        <v>2</v>
      </c>
      <c r="T3" s="107"/>
    </row>
    <row r="4" spans="1:32" ht="23.25" customHeight="1" thickBot="1">
      <c r="A4" s="103"/>
      <c r="B4" s="104"/>
      <c r="C4" s="105"/>
      <c r="D4" s="103"/>
      <c r="E4" s="105"/>
      <c r="F4" s="103"/>
      <c r="G4" s="104"/>
      <c r="H4" s="105"/>
      <c r="I4" s="103"/>
      <c r="J4" s="104"/>
      <c r="K4" s="104"/>
      <c r="L4" s="105"/>
      <c r="M4" s="103"/>
      <c r="N4" s="104"/>
      <c r="O4" s="104"/>
      <c r="P4" s="104"/>
      <c r="Q4" s="104"/>
      <c r="R4" s="104"/>
      <c r="S4" s="108"/>
      <c r="T4" s="109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5.75" customHeight="1">
      <c r="A5" s="3"/>
      <c r="B5" s="3"/>
      <c r="C5" s="3"/>
      <c r="D5" s="110" t="s">
        <v>3</v>
      </c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</row>
    <row r="6" spans="1:32" ht="9.75" customHeight="1" thickBot="1">
      <c r="A6" s="4"/>
      <c r="B6" s="4"/>
      <c r="C6" s="4"/>
      <c r="D6" s="111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</row>
    <row r="7" spans="1:32" ht="16.5" customHeight="1" thickBot="1">
      <c r="A7" s="113" t="s">
        <v>4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</row>
    <row r="8" spans="1:32" ht="11.25" customHeight="1">
      <c r="A8" s="5"/>
      <c r="B8" s="6"/>
      <c r="C8" s="6"/>
      <c r="D8" s="7"/>
      <c r="E8" s="7"/>
      <c r="F8" s="7"/>
      <c r="G8" s="8"/>
      <c r="H8" s="114" t="s">
        <v>5</v>
      </c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6"/>
    </row>
    <row r="9" spans="1:32" ht="12" customHeight="1">
      <c r="A9" s="9"/>
      <c r="B9" s="49"/>
      <c r="C9" s="10" t="s">
        <v>172</v>
      </c>
      <c r="D9" s="10"/>
      <c r="E9" s="10"/>
      <c r="F9" s="10"/>
      <c r="G9" s="11"/>
      <c r="H9" s="85" t="s">
        <v>6</v>
      </c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7"/>
    </row>
    <row r="10" spans="1:32" ht="12" customHeight="1">
      <c r="A10" s="9"/>
      <c r="B10" s="49"/>
      <c r="C10" s="10" t="s">
        <v>173</v>
      </c>
      <c r="D10" s="12"/>
      <c r="E10" s="13"/>
      <c r="F10" s="13"/>
      <c r="G10" s="14"/>
      <c r="H10" s="85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7"/>
    </row>
    <row r="11" spans="1:32" ht="10.8" thickBot="1">
      <c r="A11" s="15"/>
      <c r="B11" s="19"/>
      <c r="C11" s="16"/>
      <c r="D11" s="17"/>
      <c r="E11" s="16"/>
      <c r="F11" s="16"/>
      <c r="G11" s="18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20"/>
    </row>
    <row r="12" spans="1:32" ht="34.5" customHeight="1" thickBot="1">
      <c r="A12" s="159" t="s">
        <v>7</v>
      </c>
      <c r="B12" s="117" t="s">
        <v>61</v>
      </c>
      <c r="C12" s="117" t="s">
        <v>77</v>
      </c>
      <c r="D12" s="117" t="s">
        <v>8</v>
      </c>
      <c r="E12" s="117" t="s">
        <v>9</v>
      </c>
      <c r="F12" s="119" t="s">
        <v>10</v>
      </c>
      <c r="G12" s="120"/>
      <c r="H12" s="121"/>
      <c r="I12" s="125" t="s">
        <v>11</v>
      </c>
      <c r="J12" s="126"/>
      <c r="K12" s="126"/>
      <c r="L12" s="126"/>
      <c r="M12" s="126"/>
      <c r="N12" s="127"/>
      <c r="O12" s="21" t="s">
        <v>12</v>
      </c>
      <c r="P12" s="128" t="s">
        <v>13</v>
      </c>
      <c r="Q12" s="129"/>
      <c r="R12" s="100" t="s">
        <v>14</v>
      </c>
      <c r="S12" s="117" t="s">
        <v>15</v>
      </c>
      <c r="T12" s="21"/>
    </row>
    <row r="13" spans="1:32" ht="23.25" customHeight="1" thickBot="1">
      <c r="A13" s="160"/>
      <c r="B13" s="118"/>
      <c r="C13" s="118"/>
      <c r="D13" s="118"/>
      <c r="E13" s="118"/>
      <c r="F13" s="122"/>
      <c r="G13" s="123"/>
      <c r="H13" s="124"/>
      <c r="I13" s="23" t="s">
        <v>16</v>
      </c>
      <c r="J13" s="24" t="s">
        <v>17</v>
      </c>
      <c r="K13" s="24" t="s">
        <v>18</v>
      </c>
      <c r="L13" s="24" t="s">
        <v>19</v>
      </c>
      <c r="M13" s="24" t="s">
        <v>20</v>
      </c>
      <c r="N13" s="25" t="s">
        <v>21</v>
      </c>
      <c r="O13" s="22" t="s">
        <v>22</v>
      </c>
      <c r="P13" s="26" t="s">
        <v>23</v>
      </c>
      <c r="Q13" s="75" t="s">
        <v>24</v>
      </c>
      <c r="R13" s="132"/>
      <c r="S13" s="118"/>
      <c r="T13" s="22"/>
      <c r="Y13" s="1" t="s">
        <v>25</v>
      </c>
    </row>
    <row r="14" spans="1:32" ht="22.5" customHeight="1">
      <c r="A14" s="160"/>
      <c r="B14" s="118"/>
      <c r="C14" s="118"/>
      <c r="D14" s="118"/>
      <c r="E14" s="118"/>
      <c r="F14" s="133" t="s">
        <v>26</v>
      </c>
      <c r="G14" s="135" t="s">
        <v>27</v>
      </c>
      <c r="H14" s="137" t="s">
        <v>85</v>
      </c>
      <c r="I14" s="139" t="s">
        <v>28</v>
      </c>
      <c r="J14" s="140"/>
      <c r="K14" s="140"/>
      <c r="L14" s="140"/>
      <c r="M14" s="141"/>
      <c r="N14" s="28" t="s">
        <v>28</v>
      </c>
      <c r="O14" s="29" t="s">
        <v>29</v>
      </c>
      <c r="P14" s="142" t="s">
        <v>30</v>
      </c>
      <c r="Q14" s="143"/>
      <c r="R14" s="132"/>
      <c r="S14" s="118"/>
      <c r="T14" s="22" t="s">
        <v>31</v>
      </c>
    </row>
    <row r="15" spans="1:32" ht="22.5" customHeight="1">
      <c r="A15" s="160"/>
      <c r="B15" s="118"/>
      <c r="C15" s="118"/>
      <c r="D15" s="118"/>
      <c r="E15" s="118"/>
      <c r="F15" s="134"/>
      <c r="G15" s="136"/>
      <c r="H15" s="138"/>
      <c r="I15" s="144" t="s">
        <v>32</v>
      </c>
      <c r="J15" s="145"/>
      <c r="K15" s="145"/>
      <c r="L15" s="145"/>
      <c r="M15" s="145"/>
      <c r="N15" s="145"/>
      <c r="O15" s="145"/>
      <c r="P15" s="145"/>
      <c r="Q15" s="146"/>
      <c r="R15" s="132"/>
      <c r="S15" s="118"/>
      <c r="T15" s="22"/>
    </row>
    <row r="16" spans="1:32" ht="36" customHeight="1" thickBot="1">
      <c r="A16" s="160"/>
      <c r="B16" s="118"/>
      <c r="C16" s="118"/>
      <c r="D16" s="118"/>
      <c r="E16" s="118"/>
      <c r="F16" s="134"/>
      <c r="G16" s="136"/>
      <c r="H16" s="138"/>
      <c r="I16" s="33" t="s">
        <v>51</v>
      </c>
      <c r="J16" s="33">
        <v>0.18</v>
      </c>
      <c r="K16" s="33">
        <v>6</v>
      </c>
      <c r="L16" s="33">
        <v>15</v>
      </c>
      <c r="M16" s="33">
        <v>21</v>
      </c>
      <c r="N16" s="33">
        <v>18</v>
      </c>
      <c r="O16" s="79">
        <v>10000</v>
      </c>
      <c r="P16" s="78">
        <v>20</v>
      </c>
      <c r="Q16" s="31">
        <v>100</v>
      </c>
      <c r="R16" s="132"/>
      <c r="S16" s="118"/>
      <c r="T16" s="22"/>
    </row>
    <row r="17" spans="1:20" ht="20.100000000000001" customHeight="1">
      <c r="A17" s="155"/>
      <c r="B17" s="157"/>
      <c r="C17" s="153"/>
      <c r="D17" s="147"/>
      <c r="E17" s="37"/>
      <c r="F17" s="147"/>
      <c r="G17" s="149"/>
      <c r="H17" s="151"/>
      <c r="I17" s="38"/>
      <c r="J17" s="39"/>
      <c r="K17" s="39"/>
      <c r="L17" s="40"/>
      <c r="M17" s="39"/>
      <c r="N17" s="40"/>
      <c r="O17" s="41"/>
      <c r="P17" s="42"/>
      <c r="Q17" s="42"/>
      <c r="R17" s="43"/>
      <c r="S17" s="37"/>
      <c r="T17" s="47"/>
    </row>
    <row r="18" spans="1:20" ht="20.100000000000001" customHeight="1" thickBot="1">
      <c r="A18" s="156"/>
      <c r="B18" s="158"/>
      <c r="C18" s="154"/>
      <c r="D18" s="148"/>
      <c r="E18" s="44"/>
      <c r="F18" s="148"/>
      <c r="G18" s="150"/>
      <c r="H18" s="152"/>
      <c r="I18" s="44"/>
      <c r="J18" s="51"/>
      <c r="K18" s="50"/>
      <c r="L18" s="50"/>
      <c r="M18" s="50"/>
      <c r="N18" s="52"/>
      <c r="O18" s="53"/>
      <c r="P18" s="51"/>
      <c r="Q18" s="51"/>
      <c r="R18" s="54"/>
      <c r="S18" s="45"/>
      <c r="T18" s="48"/>
    </row>
    <row r="19" spans="1:20" ht="20.100000000000001" customHeight="1">
      <c r="A19" s="155"/>
      <c r="B19" s="157"/>
      <c r="C19" s="153"/>
      <c r="D19" s="147"/>
      <c r="E19" s="37"/>
      <c r="F19" s="147"/>
      <c r="G19" s="149"/>
      <c r="H19" s="151"/>
      <c r="I19" s="38"/>
      <c r="J19" s="39"/>
      <c r="K19" s="39"/>
      <c r="L19" s="40"/>
      <c r="M19" s="39"/>
      <c r="N19" s="40"/>
      <c r="O19" s="41"/>
      <c r="P19" s="42"/>
      <c r="Q19" s="42"/>
      <c r="R19" s="43"/>
      <c r="S19" s="37"/>
      <c r="T19" s="47"/>
    </row>
    <row r="20" spans="1:20" ht="20.100000000000001" customHeight="1" thickBot="1">
      <c r="A20" s="156"/>
      <c r="B20" s="158"/>
      <c r="C20" s="154"/>
      <c r="D20" s="148"/>
      <c r="E20" s="44"/>
      <c r="F20" s="148"/>
      <c r="G20" s="150"/>
      <c r="H20" s="152"/>
      <c r="I20" s="44"/>
      <c r="J20" s="51"/>
      <c r="K20" s="50"/>
      <c r="L20" s="50"/>
      <c r="M20" s="50"/>
      <c r="N20" s="52"/>
      <c r="O20" s="53"/>
      <c r="P20" s="51"/>
      <c r="Q20" s="51"/>
      <c r="R20" s="54"/>
      <c r="S20" s="45"/>
      <c r="T20" s="48"/>
    </row>
    <row r="21" spans="1:20" ht="20.100000000000001" customHeight="1"/>
    <row r="22" spans="1:20" ht="20.100000000000001" customHeight="1"/>
    <row r="23" spans="1:20" ht="20.100000000000001" customHeight="1"/>
    <row r="24" spans="1:20" ht="20.100000000000001" customHeight="1"/>
    <row r="25" spans="1:20" ht="20.100000000000001" customHeight="1">
      <c r="H25"/>
    </row>
    <row r="26" spans="1:20" ht="20.100000000000001" customHeight="1"/>
    <row r="27" spans="1:20" ht="20.100000000000001" customHeight="1"/>
    <row r="28" spans="1:20" ht="20.100000000000001" customHeight="1"/>
    <row r="29" spans="1:20" ht="20.100000000000001" customHeight="1"/>
    <row r="30" spans="1:20" ht="20.100000000000001" customHeight="1"/>
    <row r="31" spans="1:20" ht="20.100000000000001" customHeight="1"/>
    <row r="32" spans="1:20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spans="32:32" ht="20.100000000000001" customHeight="1"/>
    <row r="338" spans="32:32" ht="20.100000000000001" customHeight="1"/>
    <row r="339" spans="32:32" ht="20.100000000000001" customHeight="1"/>
    <row r="340" spans="32:32" ht="20.100000000000001" customHeight="1"/>
    <row r="341" spans="32:32" ht="20.100000000000001" customHeight="1"/>
    <row r="342" spans="32:32" ht="20.100000000000001" customHeight="1"/>
    <row r="343" spans="32:32" ht="20.100000000000001" customHeight="1">
      <c r="AF343" s="1" t="s">
        <v>39</v>
      </c>
    </row>
  </sheetData>
  <autoFilter ref="A12:T18" xr:uid="{2023D5D9-0A37-4427-912B-90F76B223594}"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2" showButton="0"/>
    <filterColumn colId="15" showButton="0"/>
  </autoFilter>
  <mergeCells count="44">
    <mergeCell ref="H10:T10"/>
    <mergeCell ref="A1:D2"/>
    <mergeCell ref="E1:U2"/>
    <mergeCell ref="A3:C4"/>
    <mergeCell ref="D3:E4"/>
    <mergeCell ref="F3:H4"/>
    <mergeCell ref="I3:L4"/>
    <mergeCell ref="M3:R4"/>
    <mergeCell ref="S3:T4"/>
    <mergeCell ref="D5:T5"/>
    <mergeCell ref="D6:T6"/>
    <mergeCell ref="A7:T7"/>
    <mergeCell ref="H8:T8"/>
    <mergeCell ref="H9:T9"/>
    <mergeCell ref="A12:A16"/>
    <mergeCell ref="B12:B16"/>
    <mergeCell ref="C12:C16"/>
    <mergeCell ref="D12:D16"/>
    <mergeCell ref="E12:E16"/>
    <mergeCell ref="I12:N12"/>
    <mergeCell ref="P12:Q12"/>
    <mergeCell ref="R12:R16"/>
    <mergeCell ref="S12:S16"/>
    <mergeCell ref="F14:F16"/>
    <mergeCell ref="G14:G16"/>
    <mergeCell ref="H14:H16"/>
    <mergeCell ref="I14:M14"/>
    <mergeCell ref="P14:Q14"/>
    <mergeCell ref="I15:Q15"/>
    <mergeCell ref="F12:H13"/>
    <mergeCell ref="H17:H18"/>
    <mergeCell ref="A19:A20"/>
    <mergeCell ref="B19:B20"/>
    <mergeCell ref="C19:C20"/>
    <mergeCell ref="D19:D20"/>
    <mergeCell ref="F19:F20"/>
    <mergeCell ref="G19:G20"/>
    <mergeCell ref="H19:H20"/>
    <mergeCell ref="A17:A18"/>
    <mergeCell ref="B17:B18"/>
    <mergeCell ref="C17:C18"/>
    <mergeCell ref="D17:D18"/>
    <mergeCell ref="F17:F18"/>
    <mergeCell ref="G17:G18"/>
  </mergeCells>
  <conditionalFormatting sqref="I17:I20">
    <cfRule type="cellIs" dxfId="93" priority="13" operator="lessThan">
      <formula>0.2</formula>
    </cfRule>
    <cfRule type="cellIs" dxfId="92" priority="14" operator="greaterThan">
      <formula>0.5</formula>
    </cfRule>
  </conditionalFormatting>
  <conditionalFormatting sqref="J1:J15 J21:J1048576">
    <cfRule type="cellIs" dxfId="91" priority="22" operator="between">
      <formula>0</formula>
      <formula>1.5</formula>
    </cfRule>
  </conditionalFormatting>
  <conditionalFormatting sqref="J17:J20">
    <cfRule type="cellIs" dxfId="90" priority="12" operator="lessThan">
      <formula>1.5</formula>
    </cfRule>
  </conditionalFormatting>
  <conditionalFormatting sqref="K1:L15 K21:L1048576">
    <cfRule type="cellIs" dxfId="89" priority="23" operator="between">
      <formula>0</formula>
      <formula>7.5</formula>
    </cfRule>
  </conditionalFormatting>
  <conditionalFormatting sqref="K17:L20">
    <cfRule type="cellIs" dxfId="88" priority="11" operator="lessThan">
      <formula>7.5</formula>
    </cfRule>
  </conditionalFormatting>
  <conditionalFormatting sqref="M1:M15 M21:M1048576">
    <cfRule type="cellIs" dxfId="87" priority="21" operator="between">
      <formula>0</formula>
      <formula>16.5</formula>
    </cfRule>
  </conditionalFormatting>
  <conditionalFormatting sqref="M17:M20">
    <cfRule type="cellIs" dxfId="86" priority="10" operator="lessThan">
      <formula>16.5</formula>
    </cfRule>
  </conditionalFormatting>
  <conditionalFormatting sqref="N17:N20">
    <cfRule type="cellIs" dxfId="85" priority="9" operator="lessThan">
      <formula>25</formula>
    </cfRule>
  </conditionalFormatting>
  <conditionalFormatting sqref="O1:O15 O21:O1048576">
    <cfRule type="cellIs" priority="19" operator="between">
      <formula>0</formula>
      <formula>8000</formula>
    </cfRule>
  </conditionalFormatting>
  <conditionalFormatting sqref="O17:O20">
    <cfRule type="cellIs" dxfId="84" priority="8" operator="lessThan">
      <formula>8000</formula>
    </cfRule>
  </conditionalFormatting>
  <conditionalFormatting sqref="O16:Q16">
    <cfRule type="cellIs" dxfId="83" priority="1" operator="between">
      <formula>0</formula>
      <formula>1.5</formula>
    </cfRule>
  </conditionalFormatting>
  <conditionalFormatting sqref="P1:P15 P21:P1048576">
    <cfRule type="cellIs" dxfId="82" priority="18" operator="between">
      <formula>0</formula>
      <formula>19</formula>
    </cfRule>
  </conditionalFormatting>
  <conditionalFormatting sqref="P17:P20">
    <cfRule type="cellIs" dxfId="81" priority="7" operator="lessThan">
      <formula>20</formula>
    </cfRule>
  </conditionalFormatting>
  <conditionalFormatting sqref="Q1:Q15 Q21:Q1048576">
    <cfRule type="cellIs" dxfId="80" priority="17" operator="between">
      <formula>0</formula>
      <formula>99</formula>
    </cfRule>
  </conditionalFormatting>
  <conditionalFormatting sqref="Q17:Q20">
    <cfRule type="cellIs" dxfId="79" priority="6" operator="lessThan">
      <formula>100</formula>
    </cfRule>
  </conditionalFormatting>
  <conditionalFormatting sqref="R1:R1048576">
    <cfRule type="cellIs" dxfId="78" priority="15" operator="between">
      <formula>"FAIL"</formula>
      <formula>"FAIL"</formula>
    </cfRule>
    <cfRule type="cellIs" dxfId="77" priority="16" operator="between">
      <formula>"PASS"</formula>
      <formula>"PASS"</formula>
    </cfRule>
  </conditionalFormatting>
  <printOptions horizontalCentered="1"/>
  <pageMargins left="0.19685039370078741" right="0.19685039370078741" top="0.19685039370078741" bottom="0.19685039370078741" header="0.11811023622047245" footer="0.15748031496062992"/>
  <pageSetup scale="31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28</vt:i4>
      </vt:variant>
    </vt:vector>
  </HeadingPairs>
  <TitlesOfParts>
    <vt:vector size="42" baseType="lpstr">
      <vt:lpstr>BMW</vt:lpstr>
      <vt:lpstr>TOYOTA</vt:lpstr>
      <vt:lpstr>DAIMLER</vt:lpstr>
      <vt:lpstr>NAVISTAR</vt:lpstr>
      <vt:lpstr>KENWORTH</vt:lpstr>
      <vt:lpstr>STELLANTIS(PS8810)</vt:lpstr>
      <vt:lpstr>STELLANTIS(PS50014)</vt:lpstr>
      <vt:lpstr>STELLANTIS(PS50065)</vt:lpstr>
      <vt:lpstr>VW</vt:lpstr>
      <vt:lpstr>GMOK</vt:lpstr>
      <vt:lpstr>TESLAOK</vt:lpstr>
      <vt:lpstr>VOLVOOK</vt:lpstr>
      <vt:lpstr>EZGOOK</vt:lpstr>
      <vt:lpstr>FORDOK</vt:lpstr>
      <vt:lpstr>BMW!Área_de_impresión</vt:lpstr>
      <vt:lpstr>DAIMLER!Área_de_impresión</vt:lpstr>
      <vt:lpstr>EZGOOK!Área_de_impresión</vt:lpstr>
      <vt:lpstr>FORDOK!Área_de_impresión</vt:lpstr>
      <vt:lpstr>GMOK!Área_de_impresión</vt:lpstr>
      <vt:lpstr>KENWORTH!Área_de_impresión</vt:lpstr>
      <vt:lpstr>NAVISTAR!Área_de_impresión</vt:lpstr>
      <vt:lpstr>'STELLANTIS(PS50014)'!Área_de_impresión</vt:lpstr>
      <vt:lpstr>'STELLANTIS(PS50065)'!Área_de_impresión</vt:lpstr>
      <vt:lpstr>'STELLANTIS(PS8810)'!Área_de_impresión</vt:lpstr>
      <vt:lpstr>TESLAOK!Área_de_impresión</vt:lpstr>
      <vt:lpstr>TOYOTA!Área_de_impresión</vt:lpstr>
      <vt:lpstr>VOLVOOK!Área_de_impresión</vt:lpstr>
      <vt:lpstr>VW!Área_de_impresión</vt:lpstr>
      <vt:lpstr>BMW!Títulos_a_imprimir</vt:lpstr>
      <vt:lpstr>DAIMLER!Títulos_a_imprimir</vt:lpstr>
      <vt:lpstr>EZGOOK!Títulos_a_imprimir</vt:lpstr>
      <vt:lpstr>FORDOK!Títulos_a_imprimir</vt:lpstr>
      <vt:lpstr>GMOK!Títulos_a_imprimir</vt:lpstr>
      <vt:lpstr>KENWORTH!Títulos_a_imprimir</vt:lpstr>
      <vt:lpstr>NAVISTAR!Títulos_a_imprimir</vt:lpstr>
      <vt:lpstr>'STELLANTIS(PS50014)'!Títulos_a_imprimir</vt:lpstr>
      <vt:lpstr>'STELLANTIS(PS50065)'!Títulos_a_imprimir</vt:lpstr>
      <vt:lpstr>'STELLANTIS(PS8810)'!Títulos_a_imprimir</vt:lpstr>
      <vt:lpstr>TESLAOK!Títulos_a_imprimir</vt:lpstr>
      <vt:lpstr>TOYOTA!Títulos_a_imprimir</vt:lpstr>
      <vt:lpstr>VOLVOOK!Títulos_a_imprimir</vt:lpstr>
      <vt:lpstr>VW!Títulos_a_imprimir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Sánchez Arenas</dc:creator>
  <cp:lastModifiedBy>Orlando Sánchez Arenas</cp:lastModifiedBy>
  <dcterms:created xsi:type="dcterms:W3CDTF">2025-07-08T22:23:04Z</dcterms:created>
  <dcterms:modified xsi:type="dcterms:W3CDTF">2026-04-16T19:19:40Z</dcterms:modified>
</cp:coreProperties>
</file>